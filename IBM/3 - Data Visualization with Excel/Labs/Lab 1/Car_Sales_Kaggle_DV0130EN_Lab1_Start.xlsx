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Chart" sheetId="1" state="visible" r:id="rId3"/>
    <sheet name="Bar Chart" sheetId="2" state="visible" r:id="rId4"/>
    <sheet name="Area Chart" sheetId="3" state="visible" r:id="rId5"/>
    <sheet name="Column Chart" sheetId="4" state="visible" r:id="rId6"/>
    <sheet name="Car_sales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<sst xmlns="http://schemas.openxmlformats.org/spreadsheetml/2006/main" count="1477" uniqueCount="210">
  <si>
    <t xml:space="preserve">Row Labels</t>
  </si>
  <si>
    <t xml:space="preserve">Average of Retention %</t>
  </si>
  <si>
    <t xml:space="preserve">Acura</t>
  </si>
  <si>
    <t xml:space="preserve">Honda</t>
  </si>
  <si>
    <t xml:space="preserve">Infiniti</t>
  </si>
  <si>
    <t xml:space="preserve">Lexus</t>
  </si>
  <si>
    <t xml:space="preserve">Mitsubishi</t>
  </si>
  <si>
    <t xml:space="preserve">Nissan</t>
  </si>
  <si>
    <t xml:space="preserve">Subaru</t>
  </si>
  <si>
    <t xml:space="preserve">Toyota</t>
  </si>
  <si>
    <t xml:space="preserve">Total Result</t>
  </si>
  <si>
    <t xml:space="preserve">Average of Year Resale Value</t>
  </si>
  <si>
    <t xml:space="preserve">Average of Price</t>
  </si>
  <si>
    <t xml:space="preserve">4Runner</t>
  </si>
  <si>
    <t xml:space="preserve">Avalon</t>
  </si>
  <si>
    <t xml:space="preserve">Camry</t>
  </si>
  <si>
    <t xml:space="preserve">Celica</t>
  </si>
  <si>
    <t xml:space="preserve">Corolla</t>
  </si>
  <si>
    <t xml:space="preserve">Land Cruiser</t>
  </si>
  <si>
    <t xml:space="preserve">RAV4</t>
  </si>
  <si>
    <t xml:space="preserve">Sienna</t>
  </si>
  <si>
    <t xml:space="preserve">Tacoma</t>
  </si>
  <si>
    <t xml:space="preserve">Manufacturer</t>
  </si>
  <si>
    <t xml:space="preserve">Model</t>
  </si>
  <si>
    <t xml:space="preserve">Unit Sales</t>
  </si>
  <si>
    <t xml:space="preserve">Price</t>
  </si>
  <si>
    <t xml:space="preserve">Year Resale Value</t>
  </si>
  <si>
    <t xml:space="preserve">Retention %</t>
  </si>
  <si>
    <t xml:space="preserve">Retention Value</t>
  </si>
  <si>
    <t xml:space="preserve">Engine Size</t>
  </si>
  <si>
    <t xml:space="preserve">Horsepower</t>
  </si>
  <si>
    <t xml:space="preserve">HP Level</t>
  </si>
  <si>
    <t xml:space="preserve">Vehicle_type</t>
  </si>
  <si>
    <t xml:space="preserve">Fuel Efficiency</t>
  </si>
  <si>
    <t xml:space="preserve">Power Perf Factor</t>
  </si>
  <si>
    <t xml:space="preserve">Fuel Capacity</t>
  </si>
  <si>
    <t xml:space="preserve">Wheelbase</t>
  </si>
  <si>
    <t xml:space="preserve">Width</t>
  </si>
  <si>
    <t xml:space="preserve">Length</t>
  </si>
  <si>
    <t xml:space="preserve">Curb Weight</t>
  </si>
  <si>
    <t xml:space="preserve">Latest Launch</t>
  </si>
  <si>
    <t xml:space="preserve">Integra</t>
  </si>
  <si>
    <t xml:space="preserve">Passenger</t>
  </si>
  <si>
    <t xml:space="preserve">TL</t>
  </si>
  <si>
    <t xml:space="preserve">RL</t>
  </si>
  <si>
    <t xml:space="preserve">Audi</t>
  </si>
  <si>
    <t xml:space="preserve">A4</t>
  </si>
  <si>
    <t xml:space="preserve">A6</t>
  </si>
  <si>
    <t xml:space="preserve">A8</t>
  </si>
  <si>
    <t xml:space="preserve">BMW</t>
  </si>
  <si>
    <t xml:space="preserve">323i</t>
  </si>
  <si>
    <t xml:space="preserve">328i</t>
  </si>
  <si>
    <t xml:space="preserve">528i</t>
  </si>
  <si>
    <t xml:space="preserve">Buick</t>
  </si>
  <si>
    <t xml:space="preserve">Century</t>
  </si>
  <si>
    <t xml:space="preserve">Regal</t>
  </si>
  <si>
    <t xml:space="preserve">Park Avenue</t>
  </si>
  <si>
    <t xml:space="preserve">LeSabre</t>
  </si>
  <si>
    <t xml:space="preserve">Cadillac</t>
  </si>
  <si>
    <t xml:space="preserve">DeVille</t>
  </si>
  <si>
    <t xml:space="preserve">Seville</t>
  </si>
  <si>
    <t xml:space="preserve">Eldorado</t>
  </si>
  <si>
    <t xml:space="preserve">Catera</t>
  </si>
  <si>
    <t xml:space="preserve">Escalade</t>
  </si>
  <si>
    <t xml:space="preserve">Car</t>
  </si>
  <si>
    <t xml:space="preserve">Chevrolet</t>
  </si>
  <si>
    <t xml:space="preserve">Cavalier</t>
  </si>
  <si>
    <t xml:space="preserve">Malibu</t>
  </si>
  <si>
    <t xml:space="preserve">Lumina</t>
  </si>
  <si>
    <t xml:space="preserve">Monte Carlo</t>
  </si>
  <si>
    <t xml:space="preserve">Camaro</t>
  </si>
  <si>
    <t xml:space="preserve">Corvette</t>
  </si>
  <si>
    <t xml:space="preserve">Prizm</t>
  </si>
  <si>
    <t xml:space="preserve">Metro</t>
  </si>
  <si>
    <t xml:space="preserve">Impala</t>
  </si>
  <si>
    <t xml:space="preserve">Chrysler</t>
  </si>
  <si>
    <t xml:space="preserve">Sebring Coupe</t>
  </si>
  <si>
    <t xml:space="preserve">Sebring Conv.</t>
  </si>
  <si>
    <t xml:space="preserve">Concorde</t>
  </si>
  <si>
    <t xml:space="preserve">Cirrus</t>
  </si>
  <si>
    <t xml:space="preserve">LHS</t>
  </si>
  <si>
    <t xml:space="preserve">300M</t>
  </si>
  <si>
    <t xml:space="preserve">Dodge</t>
  </si>
  <si>
    <t xml:space="preserve">Neon</t>
  </si>
  <si>
    <t xml:space="preserve">Avenger</t>
  </si>
  <si>
    <t xml:space="preserve">Stratus</t>
  </si>
  <si>
    <t xml:space="preserve">Intrepid</t>
  </si>
  <si>
    <t xml:space="preserve">Viper</t>
  </si>
  <si>
    <t xml:space="preserve">Ram Pickup</t>
  </si>
  <si>
    <t xml:space="preserve">Ram Wagon</t>
  </si>
  <si>
    <t xml:space="preserve">Ram Van</t>
  </si>
  <si>
    <t xml:space="preserve">Dakota</t>
  </si>
  <si>
    <t xml:space="preserve">Durango</t>
  </si>
  <si>
    <t xml:space="preserve">Caravan</t>
  </si>
  <si>
    <t xml:space="preserve">Ford</t>
  </si>
  <si>
    <t xml:space="preserve">Escort</t>
  </si>
  <si>
    <t xml:space="preserve">Mustang</t>
  </si>
  <si>
    <t xml:space="preserve">Contour</t>
  </si>
  <si>
    <t xml:space="preserve">Taurus</t>
  </si>
  <si>
    <t xml:space="preserve">Focus</t>
  </si>
  <si>
    <t xml:space="preserve">Crown Victoria</t>
  </si>
  <si>
    <t xml:space="preserve">Explorer</t>
  </si>
  <si>
    <t xml:space="preserve">Windstar</t>
  </si>
  <si>
    <t xml:space="preserve">Expedition</t>
  </si>
  <si>
    <t xml:space="preserve">Ranger</t>
  </si>
  <si>
    <t xml:space="preserve">F-Series</t>
  </si>
  <si>
    <t xml:space="preserve">Civic</t>
  </si>
  <si>
    <t xml:space="preserve">Accord</t>
  </si>
  <si>
    <t xml:space="preserve">CR-V</t>
  </si>
  <si>
    <t xml:space="preserve">Passport</t>
  </si>
  <si>
    <t xml:space="preserve">Odyssey</t>
  </si>
  <si>
    <t xml:space="preserve">Hyundai</t>
  </si>
  <si>
    <t xml:space="preserve">Accent</t>
  </si>
  <si>
    <t xml:space="preserve">Elantra</t>
  </si>
  <si>
    <t xml:space="preserve">Sonata</t>
  </si>
  <si>
    <t xml:space="preserve">I30</t>
  </si>
  <si>
    <t xml:space="preserve">Jaguar</t>
  </si>
  <si>
    <t xml:space="preserve">S-Type</t>
  </si>
  <si>
    <t xml:space="preserve">Jeep</t>
  </si>
  <si>
    <t xml:space="preserve">Wrangler</t>
  </si>
  <si>
    <t xml:space="preserve">Cherokee</t>
  </si>
  <si>
    <t xml:space="preserve">Grand Cherokee</t>
  </si>
  <si>
    <t xml:space="preserve">ES300</t>
  </si>
  <si>
    <t xml:space="preserve">GS300</t>
  </si>
  <si>
    <t xml:space="preserve">GS400</t>
  </si>
  <si>
    <t xml:space="preserve">LS400</t>
  </si>
  <si>
    <t xml:space="preserve">LX470</t>
  </si>
  <si>
    <t xml:space="preserve">RX300</t>
  </si>
  <si>
    <t xml:space="preserve">Lincoln</t>
  </si>
  <si>
    <t xml:space="preserve">Continental</t>
  </si>
  <si>
    <t xml:space="preserve">Town car</t>
  </si>
  <si>
    <t xml:space="preserve">Navigator</t>
  </si>
  <si>
    <t xml:space="preserve">Mirage</t>
  </si>
  <si>
    <t xml:space="preserve">Eclipse</t>
  </si>
  <si>
    <t xml:space="preserve">Galant</t>
  </si>
  <si>
    <t xml:space="preserve">Diamante</t>
  </si>
  <si>
    <t xml:space="preserve">3000GT</t>
  </si>
  <si>
    <t xml:space="preserve">Montero</t>
  </si>
  <si>
    <t xml:space="preserve">Montero Sport</t>
  </si>
  <si>
    <t xml:space="preserve">Mercury</t>
  </si>
  <si>
    <t xml:space="preserve">Mystique</t>
  </si>
  <si>
    <t xml:space="preserve">Cougar</t>
  </si>
  <si>
    <t xml:space="preserve">Sable</t>
  </si>
  <si>
    <t xml:space="preserve">Grand Marquis</t>
  </si>
  <si>
    <t xml:space="preserve">Mountaineer</t>
  </si>
  <si>
    <t xml:space="preserve">Villager</t>
  </si>
  <si>
    <t xml:space="preserve">Mercedes-B</t>
  </si>
  <si>
    <t xml:space="preserve">C-Class</t>
  </si>
  <si>
    <t xml:space="preserve">E-Class</t>
  </si>
  <si>
    <t xml:space="preserve">S-Class</t>
  </si>
  <si>
    <t xml:space="preserve">SL-Class</t>
  </si>
  <si>
    <t xml:space="preserve">SLK</t>
  </si>
  <si>
    <t xml:space="preserve">SLK230</t>
  </si>
  <si>
    <t xml:space="preserve">CLK Coupe</t>
  </si>
  <si>
    <t xml:space="preserve">CL500</t>
  </si>
  <si>
    <t xml:space="preserve">M-Class</t>
  </si>
  <si>
    <t xml:space="preserve">Sentra</t>
  </si>
  <si>
    <t xml:space="preserve">Altima</t>
  </si>
  <si>
    <t xml:space="preserve">Maxima</t>
  </si>
  <si>
    <t xml:space="preserve">Quest</t>
  </si>
  <si>
    <t xml:space="preserve">Pathfinder</t>
  </si>
  <si>
    <t xml:space="preserve">Xterra</t>
  </si>
  <si>
    <t xml:space="preserve">Frontier</t>
  </si>
  <si>
    <t xml:space="preserve">Oldsmobile</t>
  </si>
  <si>
    <t xml:space="preserve">Cutlass</t>
  </si>
  <si>
    <t xml:space="preserve">Intrigue</t>
  </si>
  <si>
    <t xml:space="preserve">Alero</t>
  </si>
  <si>
    <t xml:space="preserve">Aurora</t>
  </si>
  <si>
    <t xml:space="preserve">Bravada</t>
  </si>
  <si>
    <t xml:space="preserve">Silhouette</t>
  </si>
  <si>
    <t xml:space="preserve">Plymouth</t>
  </si>
  <si>
    <t xml:space="preserve">Breeze</t>
  </si>
  <si>
    <t xml:space="preserve">Voyager</t>
  </si>
  <si>
    <t xml:space="preserve">Prowler</t>
  </si>
  <si>
    <t xml:space="preserve">Pontiac</t>
  </si>
  <si>
    <t xml:space="preserve">Sunfire</t>
  </si>
  <si>
    <t xml:space="preserve">Grand Am</t>
  </si>
  <si>
    <t xml:space="preserve">Firebird</t>
  </si>
  <si>
    <t xml:space="preserve">Grand Prix</t>
  </si>
  <si>
    <t xml:space="preserve">Bonneville</t>
  </si>
  <si>
    <t xml:space="preserve">Montana</t>
  </si>
  <si>
    <t xml:space="preserve">Porsche</t>
  </si>
  <si>
    <t xml:space="preserve">Boxter</t>
  </si>
  <si>
    <t xml:space="preserve">Carrera Coupe</t>
  </si>
  <si>
    <t xml:space="preserve">Carrera Cabrio</t>
  </si>
  <si>
    <t xml:space="preserve">Saab</t>
  </si>
  <si>
    <t xml:space="preserve">9-5</t>
  </si>
  <si>
    <t xml:space="preserve">9-3</t>
  </si>
  <si>
    <t xml:space="preserve">Saturn</t>
  </si>
  <si>
    <t xml:space="preserve">SL</t>
  </si>
  <si>
    <t xml:space="preserve">SC</t>
  </si>
  <si>
    <t xml:space="preserve">SW</t>
  </si>
  <si>
    <t xml:space="preserve">LW</t>
  </si>
  <si>
    <t xml:space="preserve">LS</t>
  </si>
  <si>
    <t xml:space="preserve">Outback</t>
  </si>
  <si>
    <t xml:space="preserve">Forester</t>
  </si>
  <si>
    <t xml:space="preserve">Volkswagen</t>
  </si>
  <si>
    <t xml:space="preserve">Golf</t>
  </si>
  <si>
    <t xml:space="preserve">Jetta</t>
  </si>
  <si>
    <t xml:space="preserve">Passat</t>
  </si>
  <si>
    <t xml:space="preserve">Cabrio</t>
  </si>
  <si>
    <t xml:space="preserve">GTI</t>
  </si>
  <si>
    <t xml:space="preserve">Beetle</t>
  </si>
  <si>
    <t xml:space="preserve">Volvo</t>
  </si>
  <si>
    <t xml:space="preserve">S40</t>
  </si>
  <si>
    <t xml:space="preserve">V40</t>
  </si>
  <si>
    <t xml:space="preserve">S70</t>
  </si>
  <si>
    <t xml:space="preserve">V70</t>
  </si>
  <si>
    <t xml:space="preserve">C70</t>
  </si>
  <si>
    <t xml:space="preserve">S80</t>
  </si>
</sst>
</file>

<file path=xl/styles.xml><?xml version="1.0" encoding="utf-8"?>
<styleSheet xmlns="http://schemas.openxmlformats.org/spreadsheetml/2006/main">
  <numFmts count="10">
    <numFmt numFmtId="164" formatCode="\$#,##0.00"/>
    <numFmt numFmtId="165" formatCode="0%"/>
    <numFmt numFmtId="166" formatCode="General"/>
    <numFmt numFmtId="167" formatCode="_(\$* #,##0.00_);_(\$* \(#,##0.00\);_(\$* \-??_);_(@_)"/>
    <numFmt numFmtId="168" formatCode="[$$-409]#,##0.00"/>
    <numFmt numFmtId="169" formatCode="0"/>
    <numFmt numFmtId="170" formatCode="[$$-409]#,##0"/>
    <numFmt numFmtId="171" formatCode="dd/mm/yyyy"/>
    <numFmt numFmtId="172" formatCode="_-[$$-409]* #,##0_ ;_-[$$-409]* \-#,##0\ ;_-[$$-409]* \-??_ ;_-@_ 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i val="true"/>
      <sz val="10"/>
      <color theme="1"/>
      <name val="Arial"/>
      <family val="2"/>
      <charset val="1"/>
    </font>
    <font>
      <sz val="11"/>
      <color theme="1"/>
      <name val="Wingdings"/>
      <family val="0"/>
      <charset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"/>
        <bgColor rgb="FFB3B3B3"/>
      </patternFill>
    </fill>
    <fill>
      <patternFill patternType="solid">
        <fgColor theme="5" tint="0.3999"/>
        <bgColor rgb="FFFFCCCC"/>
      </patternFill>
    </fill>
    <fill>
      <patternFill patternType="solid">
        <fgColor theme="9" tint="0.3999"/>
        <bgColor rgb="FFC5E0B4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9"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left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left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2" borderId="0" applyFont="true" applyBorder="false" applyAlignment="true" applyProtection="false">
      <alignment horizontal="general" vertical="bottom" textRotation="0" wrapText="false" indent="0" shrinkToFit="false"/>
    </xf>
    <xf numFmtId="166" fontId="0" fillId="3" borderId="0" applyFont="true" applyBorder="false" applyAlignment="true" applyProtection="false">
      <alignment horizontal="general" vertical="bottom" textRotation="0" wrapText="false" indent="0" shrinkToFit="false"/>
    </xf>
    <xf numFmtId="166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9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Category" xfId="22"/>
    <cellStyle name="Pivot Table Field" xfId="23"/>
    <cellStyle name="Pivot Table Title" xfId="24"/>
    <cellStyle name="Pivot Table Result" xfId="25"/>
    <cellStyle name="Excel Built-in 60% - Accent1" xfId="26"/>
    <cellStyle name="Excel Built-in 60% - Accent2" xfId="27"/>
    <cellStyle name="Excel Built-in 60% - Accent6" xfId="28"/>
  </cellStyles>
  <dxfs count="22">
    <dxf>
      <fill>
        <patternFill patternType="solid">
          <fgColor rgb="FF8FAADC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38572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1"/>
        <i val="0"/>
        <color rgb="FFFF0000"/>
      </font>
      <fill>
        <patternFill>
          <bgColor rgb="FFFFCCCC"/>
        </patternFill>
      </fill>
    </dxf>
    <dxf>
      <font>
        <b val="1"/>
        <i val="0"/>
        <color rgb="FF385724"/>
      </font>
      <fill>
        <patternFill>
          <bgColor theme="9" tint="0.5999"/>
        </patternFill>
      </fill>
    </dxf>
    <dxf>
      <font>
        <b val="1"/>
        <i val="0"/>
        <color rgb="FFFF0000"/>
      </font>
      <fill>
        <patternFill>
          <bgColor rgb="FFFFCCCC"/>
        </patternFill>
      </fill>
    </dxf>
    <dxf>
      <font>
        <b val="1"/>
        <i val="0"/>
        <color rgb="FF385724"/>
      </font>
      <fill>
        <patternFill>
          <bgColor theme="9" tint="0.5999"/>
        </patternFill>
      </fill>
    </dxf>
    <dxf>
      <font>
        <b val="1"/>
        <i val="0"/>
        <color rgb="FFFF0000"/>
      </font>
      <fill>
        <patternFill>
          <bgColor rgb="FFFFCCCC"/>
        </patternFill>
      </fill>
    </dxf>
    <dxf>
      <font>
        <b val="1"/>
        <i val="0"/>
        <color rgb="FF385724"/>
      </font>
      <fill>
        <patternFill>
          <bgColor theme="9" tint="0.5999"/>
        </patternFill>
      </fill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5" formatCode="0%"/>
    </dxf>
    <dxf>
      <numFmt numFmtId="165" formatCode="0%"/>
    </dxf>
    <dxf>
      <numFmt numFmtId="165" formatCode="0%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A9D18E"/>
      <rgbColor rgb="FFF4B183"/>
      <rgbColor rgb="FFCC99FF"/>
      <rgbColor rgb="FFFFCCCC"/>
      <rgbColor rgb="FF3366FF"/>
      <rgbColor rgb="FF33CCCC"/>
      <rgbColor rgb="FF99CC00"/>
      <rgbColor rgb="FFFFBF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Average Retention of % of Japanese Auto Manufacturers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numFmt formatCode="0%" sourceLinked="0"/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8"/>
                <c:pt idx="0">
                  <c:v>0.722830757152736</c:v>
                </c:pt>
                <c:pt idx="1">
                  <c:v>0.779058313862411</c:v>
                </c:pt>
                <c:pt idx="2">
                  <c:v>0.668250466655354</c:v>
                </c:pt>
                <c:pt idx="3">
                  <c:v>0.810916009030682</c:v>
                </c:pt>
                <c:pt idx="4">
                  <c:v>0.636381274545479</c:v>
                </c:pt>
                <c:pt idx="5">
                  <c:v>0.588186184670416</c:v>
                </c:pt>
                <c:pt idx="6">
                  <c:v>0.738511666412038</c:v>
                </c:pt>
                <c:pt idx="7">
                  <c:v>0.792418491642172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340161"/>
        <c:axId val="59788672"/>
      </c:lineChart>
      <c:catAx>
        <c:axId val="6634016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9788672"/>
        <c:crosses val="autoZero"/>
        <c:auto val="1"/>
        <c:lblAlgn val="ctr"/>
        <c:lblOffset val="100"/>
        <c:noMultiLvlLbl val="0"/>
      </c:catAx>
      <c:valAx>
        <c:axId val="597886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634016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3981498843678"/>
          <c:y val="0.0168352039115458"/>
          <c:w val="0.735483467716732"/>
          <c:h val="0.5786198466496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pt@data 0</c:f>
              <c:numCache>
                <c:formatCode>[$$-409]#,##0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pt@data 1</c:f>
              <c:numCache>
                <c:formatCode>[$$-409]#,##0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</c:ser>
        <c:gapWidth val="100"/>
        <c:overlap val="0"/>
        <c:axId val="68115586"/>
        <c:axId val="50011409"/>
      </c:barChart>
      <c:catAx>
        <c:axId val="6811558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0011409"/>
        <c:crosses val="autoZero"/>
        <c:auto val="1"/>
        <c:lblAlgn val="ctr"/>
        <c:lblOffset val="100"/>
        <c:noMultiLvlLbl val="0"/>
      </c:catAx>
      <c:valAx>
        <c:axId val="500114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81155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b"/>
      <c:layout>
        <c:manualLayout>
          <c:xMode val="edge"/>
          <c:yMode val="edge"/>
          <c:x val="0.23326457903619"/>
          <c:y val="0.694521613512613"/>
          <c:w val="0.533470841927621"/>
          <c:h val="0.22269141015668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Unit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rgbClr val="ffbf00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</c:ser>
        <c:axId val="5680010"/>
        <c:axId val="31860445"/>
      </c:areaChart>
      <c:catAx>
        <c:axId val="5680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1860445"/>
        <c:crosses val="autoZero"/>
        <c:auto val="1"/>
        <c:lblAlgn val="ctr"/>
        <c:lblOffset val="100"/>
        <c:noMultiLvlLbl val="0"/>
      </c:catAx>
      <c:valAx>
        <c:axId val="318604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68001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Power Perf Factor of Toyota Cars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54.37241965</c:v>
                </c:pt>
                <c:pt idx="2">
                  <c:v>84.91189826</c:v>
                </c:pt>
                <c:pt idx="3">
                  <c:v>56.49603034</c:v>
                </c:pt>
                <c:pt idx="4">
                  <c:v>55.29711658</c:v>
                </c:pt>
                <c:pt idx="5">
                  <c:v>78.02721947</c:v>
                </c:pt>
                <c:pt idx="6">
                  <c:v>51.95510887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</c:ser>
        <c:gapWidth val="100"/>
        <c:overlap val="0"/>
        <c:axId val="41068954"/>
        <c:axId val="1423366"/>
      </c:barChart>
      <c:catAx>
        <c:axId val="410689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Power Perf Factor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423366"/>
        <c:crosses val="autoZero"/>
        <c:auto val="1"/>
        <c:lblAlgn val="ctr"/>
        <c:lblOffset val="100"/>
        <c:noMultiLvlLbl val="0"/>
      </c:catAx>
      <c:valAx>
        <c:axId val="14233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106895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269280</xdr:colOff>
      <xdr:row>13</xdr:row>
      <xdr:rowOff>29160</xdr:rowOff>
    </xdr:from>
    <xdr:to>
      <xdr:col>3</xdr:col>
      <xdr:colOff>1004040</xdr:colOff>
      <xdr:row>30</xdr:row>
      <xdr:rowOff>34200</xdr:rowOff>
    </xdr:to>
    <xdr:graphicFrame>
      <xdr:nvGraphicFramePr>
        <xdr:cNvPr id="1" name=""/>
        <xdr:cNvGraphicFramePr/>
      </xdr:nvGraphicFramePr>
      <xdr:xfrm>
        <a:off x="269280" y="2505600"/>
        <a:ext cx="5762160" cy="32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172800</xdr:rowOff>
    </xdr:from>
    <xdr:to>
      <xdr:col>3</xdr:col>
      <xdr:colOff>1172520</xdr:colOff>
      <xdr:row>31</xdr:row>
      <xdr:rowOff>173880</xdr:rowOff>
    </xdr:to>
    <xdr:graphicFrame>
      <xdr:nvGraphicFramePr>
        <xdr:cNvPr id="2" name=""/>
        <xdr:cNvGraphicFramePr/>
      </xdr:nvGraphicFramePr>
      <xdr:xfrm rot="16200">
        <a:off x="0" y="2839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186480</xdr:colOff>
      <xdr:row>156</xdr:row>
      <xdr:rowOff>106560</xdr:rowOff>
    </xdr:from>
    <xdr:to>
      <xdr:col>8</xdr:col>
      <xdr:colOff>814680</xdr:colOff>
      <xdr:row>173</xdr:row>
      <xdr:rowOff>110880</xdr:rowOff>
    </xdr:to>
    <xdr:graphicFrame>
      <xdr:nvGraphicFramePr>
        <xdr:cNvPr id="3" name=""/>
        <xdr:cNvGraphicFramePr/>
      </xdr:nvGraphicFramePr>
      <xdr:xfrm>
        <a:off x="5307120" y="2143080"/>
        <a:ext cx="5762160" cy="32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150480</xdr:colOff>
      <xdr:row>157</xdr:row>
      <xdr:rowOff>141840</xdr:rowOff>
    </xdr:from>
    <xdr:to>
      <xdr:col>7</xdr:col>
      <xdr:colOff>573480</xdr:colOff>
      <xdr:row>174</xdr:row>
      <xdr:rowOff>145800</xdr:rowOff>
    </xdr:to>
    <xdr:graphicFrame>
      <xdr:nvGraphicFramePr>
        <xdr:cNvPr id="4" name=""/>
        <xdr:cNvGraphicFramePr/>
      </xdr:nvGraphicFramePr>
      <xdr:xfrm>
        <a:off x="4044240" y="2368800"/>
        <a:ext cx="5757120" cy="32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5" createdVersion="3">
  <cacheSource type="worksheet">
    <worksheetSource ref="A1:S156" sheet="Car_sales"/>
  </cacheSource>
  <cacheFields count="19"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ercedes-B"/>
        <s v="Mercury"/>
        <s v="Mitsubishi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Model" numFmtId="0">
      <sharedItems count="154">
        <s v="3000GT"/>
        <s v="300M"/>
        <s v="323i"/>
        <s v="328i"/>
        <s v="4Runner"/>
        <s v="528i"/>
        <s v="9-3"/>
        <s v="9-5"/>
        <s v="A4"/>
        <s v="A6"/>
        <s v="A8"/>
        <s v="Accent"/>
        <s v="Accord"/>
        <s v="Alero"/>
        <s v="Altima"/>
        <s v="Aurora"/>
        <s v="Avalon"/>
        <s v="Avenger"/>
        <s v="Beetle"/>
        <s v="Bonneville"/>
        <s v="Boxter"/>
        <s v="Bravada"/>
        <s v="Breeze"/>
        <s v="C-Class"/>
        <s v="C70"/>
        <s v="Cabrio"/>
        <s v="Camaro"/>
        <s v="Camry"/>
        <s v="Caravan"/>
        <s v="Carrera Cabrio"/>
        <s v="Carrera Coupe"/>
        <s v="Catera"/>
        <s v="Cavalier"/>
        <s v="Celica"/>
        <s v="Century"/>
        <s v="Cherokee"/>
        <s v="Cirrus"/>
        <s v="Civic"/>
        <s v="CL500"/>
        <s v="CLK Coupe"/>
        <s v="Concorde"/>
        <s v="Continental"/>
        <s v="Contour"/>
        <s v="Corolla"/>
        <s v="Corvette"/>
        <s v="Cougar"/>
        <s v="CR-V"/>
        <s v="Crown Victoria"/>
        <s v="Cutlass"/>
        <s v="Dakota"/>
        <s v="DeVille"/>
        <s v="Diamante"/>
        <s v="Durango"/>
        <s v="E-Class"/>
        <s v="Eclipse"/>
        <s v="Elantra"/>
        <s v="Eldorado"/>
        <s v="ES300"/>
        <s v="Escalade"/>
        <s v="Escort"/>
        <s v="Expedition"/>
        <s v="Explorer"/>
        <s v="F-Series"/>
        <s v="Firebird"/>
        <s v="Focus"/>
        <s v="Forester"/>
        <s v="Frontier"/>
        <s v="Galant"/>
        <s v="Golf"/>
        <s v="Grand Am"/>
        <s v="Grand Cherokee"/>
        <s v="Grand Marquis"/>
        <s v="Grand Prix"/>
        <s v="GS300"/>
        <s v="GS400"/>
        <s v="GTI"/>
        <s v="I30"/>
        <s v="Impala"/>
        <s v="Integra"/>
        <s v="Intrepid"/>
        <s v="Intrigue"/>
        <s v="Jetta"/>
        <s v="Land Cruiser"/>
        <s v="LeSabre"/>
        <s v="LHS"/>
        <s v="LS"/>
        <s v="LS400"/>
        <s v="Lumina"/>
        <s v="LW"/>
        <s v="LX470"/>
        <s v="M-Class"/>
        <s v="Malibu"/>
        <s v="Maxima"/>
        <s v="Metro"/>
        <s v="Mirage"/>
        <s v="Montana"/>
        <s v="Monte Carlo"/>
        <s v="Montero"/>
        <s v="Montero Sport"/>
        <s v="Mountaineer"/>
        <s v="Mustang"/>
        <s v="Mystique"/>
        <s v="Navigator"/>
        <s v="Neon"/>
        <s v="Odyssey"/>
        <s v="Outback"/>
        <s v="Park Avenue"/>
        <s v="Passat"/>
        <s v="Passport"/>
        <s v="Pathfinder"/>
        <s v="Prizm"/>
        <s v="Prowler"/>
        <s v="Quest"/>
        <s v="Ram Pickup"/>
        <s v="Ram Van"/>
        <s v="Ram Wagon"/>
        <s v="Ranger"/>
        <s v="RAV4"/>
        <s v="Regal"/>
        <s v="RL"/>
        <s v="RX300"/>
        <s v="S-Class"/>
        <s v="S-Type"/>
        <s v="S40"/>
        <s v="S70"/>
        <s v="S80"/>
        <s v="Sable"/>
        <s v="SC"/>
        <s v="Sebring Conv."/>
        <s v="Sebring Coupe"/>
        <s v="Sentra"/>
        <s v="Seville"/>
        <s v="Sienna"/>
        <s v="Silhouette"/>
        <s v="SL"/>
        <s v="SL-Class"/>
        <s v="SLK"/>
        <s v="SLK230"/>
        <s v="Sonata"/>
        <s v="Stratus"/>
        <s v="Sunfire"/>
        <s v="SW"/>
        <s v="Tacoma"/>
        <s v="Taurus"/>
        <s v="TL"/>
        <s v="Town car"/>
        <s v="V40"/>
        <s v="V70"/>
        <s v="Villager"/>
        <s v="Viper"/>
        <s v="Voyager"/>
        <s v="Windstar"/>
        <s v="Wrangler"/>
        <s v="Xterra"/>
      </sharedItems>
    </cacheField>
    <cacheField name="Unit Sales" numFmtId="0">
      <sharedItems containsSemiMixedTypes="0" containsString="0" containsNumber="1" minValue="110" maxValue="540561" count="155">
        <n v="110"/>
        <n v="916"/>
        <n v="954"/>
        <n v="1112"/>
        <n v="1280"/>
        <n v="1380"/>
        <n v="1526"/>
        <n v="1866"/>
        <n v="1872"/>
        <n v="3311"/>
        <n v="3334"/>
        <n v="3493"/>
        <n v="3545"/>
        <n v="4734"/>
        <n v="5223"/>
        <n v="5240"/>
        <n v="5596"/>
        <n v="5711"/>
        <n v="6375"/>
        <n v="6536"/>
        <n v="7854"/>
        <n v="7998"/>
        <n v="8472"/>
        <n v="8588"/>
        <n v="8982"/>
        <n v="9126"/>
        <n v="9191"/>
        <n v="9231"/>
        <n v="9569"/>
        <n v="9761"/>
        <n v="9835"/>
        <n v="11185"/>
        <n v="11337"/>
        <n v="11592"/>
        <n v="12115"/>
        <n v="12698"/>
        <n v="12855"/>
        <n v="13462"/>
        <n v="13798"/>
        <n v="14351"/>
        <n v="14690"/>
        <n v="14785"/>
        <n v="15245"/>
        <n v="15467"/>
        <n v="15943"/>
        <n v="16767"/>
        <n v="16774"/>
        <n v="16919"/>
        <n v="16957"/>
        <n v="17527"/>
        <n v="17531"/>
        <n v="17947"/>
        <n v="18392"/>
        <n v="18780"/>
        <n v="18969"/>
        <n v="19747"/>
        <n v="19911"/>
        <n v="20017"/>
        <n v="20380"/>
        <n v="20397"/>
        <n v="21855"/>
        <n v="22925"/>
        <n v="23713"/>
        <n v="24072"/>
        <n v="24155"/>
        <n v="24361"/>
        <n v="24546"/>
        <n v="24629"/>
        <n v="25106"/>
        <n v="26232"/>
        <n v="26402"/>
        <n v="26529"/>
        <n v="27308"/>
        <n v="27602"/>
        <n v="27609"/>
        <n v="27851"/>
        <n v="28976"/>
        <n v="29450"/>
        <n v="30696"/>
        <n v="31038"/>
        <n v="31148"/>
        <n v="32299"/>
        <n v="32306"/>
        <n v="32734"/>
        <n v="32775"/>
        <n v="33028"/>
        <n v="33269"/>
        <n v="35068"/>
        <n v="35945"/>
        <n v="38554"/>
        <n v="39348"/>
        <n v="39350"/>
        <n v="39384"/>
        <n v="39572"/>
        <n v="41184"/>
        <n v="42541"/>
        <n v="42574"/>
        <n v="42593"/>
        <n v="42643"/>
        <n v="47107"/>
        <n v="48911"/>
        <n v="49463"/>
        <n v="49989"/>
        <n v="51102"/>
        <n v="51238"/>
        <n v="51645"/>
        <n v="54158"/>
        <n v="55557"/>
        <n v="55616"/>
        <n v="63403"/>
        <n v="63729"/>
        <n v="63849"/>
        <n v="65005"/>
        <n v="65119"/>
        <n v="66692"/>
        <n v="67956"/>
        <n v="68411"/>
        <n v="70227"/>
        <n v="71186"/>
        <n v="73203"/>
        <n v="76029"/>
        <n v="76034"/>
        <n v="79853"/>
        <n v="80255"/>
        <n v="80556"/>
        <n v="80620"/>
        <n v="81174"/>
        <n v="83257"/>
        <n v="83721"/>
        <n v="84087"/>
        <n v="88028"/>
        <n v="88094"/>
        <n v="91561"/>
        <n v="92364"/>
        <n v="101323"/>
        <n v="107995"/>
        <n v="111313"/>
        <n v="113369"/>
        <n v="125338"/>
        <n v="131097"/>
        <n v="135126"/>
        <n v="142535"/>
        <n v="145519"/>
        <n v="155787"/>
        <n v="157040"/>
        <n v="175670"/>
        <n v="181749"/>
        <n v="199685"/>
        <n v="220650"/>
        <n v="227061"/>
        <n v="230902"/>
        <n v="245815"/>
        <n v="247994"/>
        <n v="276747"/>
        <n v="540561"/>
      </sharedItems>
    </cacheField>
    <cacheField name="Price" numFmtId="0">
      <sharedItems containsSemiMixedTypes="0" containsString="0" containsNumber="1" minValue="9235" maxValue="85500" count="152">
        <n v="9235"/>
        <n v="9699"/>
        <n v="10685"/>
        <n v="11528"/>
        <n v="11799"/>
        <n v="12050"/>
        <n v="12070"/>
        <n v="12315"/>
        <n v="12535"/>
        <n v="12640"/>
        <n v="12885"/>
        <n v="13108"/>
        <n v="13260"/>
        <n v="13499"/>
        <n v="13960"/>
        <n v="13987"/>
        <n v="14290"/>
        <n v="14460"/>
        <n v="14900"/>
        <n v="14999"/>
        <n v="15010"/>
        <n v="15350"/>
        <n v="15900"/>
        <n v="16080"/>
        <n v="16240"/>
        <n v="16480"/>
        <n v="16535"/>
        <n v="16540"/>
        <n v="16700"/>
        <n v="16875"/>
        <n v="16888"/>
        <n v="16980"/>
        <n v="17035"/>
        <n v="17357"/>
        <n v="17500"/>
        <n v="17518"/>
        <n v="17885"/>
        <n v="17890"/>
        <n v="18145"/>
        <n v="18270"/>
        <n v="18575"/>
        <n v="18835"/>
        <n v="18850"/>
        <n v="18890"/>
        <n v="19035"/>
        <n v="19045"/>
        <n v="19047"/>
        <n v="19390"/>
        <n v="19460"/>
        <n v="19565"/>
        <n v="19720"/>
        <n v="19840"/>
        <n v="19990"/>
        <n v="20095"/>
        <n v="20230"/>
        <n v="20390"/>
        <n v="20550"/>
        <n v="21200"/>
        <n v="21315"/>
        <n v="21410"/>
        <n v="21500"/>
        <n v="21560"/>
        <n v="21610"/>
        <n v="21620"/>
        <n v="21665"/>
        <n v="21975"/>
        <n v="22195"/>
        <n v="22245"/>
        <n v="22288"/>
        <n v="22368"/>
        <n v="22505"/>
        <n v="22510"/>
        <n v="22527"/>
        <n v="22605"/>
        <n v="22695"/>
        <n v="22799"/>
        <n v="23400"/>
        <n v="23755"/>
        <n v="23990"/>
        <n v="24150"/>
        <n v="24340"/>
        <n v="24400"/>
        <n v="24495"/>
        <n v="24997"/>
        <n v="25300"/>
        <n v="25310"/>
        <n v="25345"/>
        <n v="25450"/>
        <n v="25545"/>
        <n v="25635"/>
        <n v="26000"/>
        <n v="26100"/>
        <n v="26249"/>
        <n v="26310"/>
        <n v="26399"/>
        <n v="26600"/>
        <n v="26895"/>
        <n v="26935"/>
        <n v="26990"/>
        <n v="27500"/>
        <n v="27560"/>
        <n v="27885"/>
        <n v="28340"/>
        <n v="28400"/>
        <n v="28800"/>
        <n v="29185"/>
        <n v="29299"/>
        <n v="29465"/>
        <n v="31010"/>
        <n v="31505"/>
        <n v="31598"/>
        <n v="31750"/>
        <n v="31807"/>
        <n v="31930"/>
        <n v="31965"/>
        <n v="33120"/>
        <n v="33400"/>
        <n v="33950"/>
        <n v="34605"/>
        <n v="35300"/>
        <n v="36000"/>
        <n v="36135"/>
        <n v="36229"/>
        <n v="37805"/>
        <n v="38900"/>
        <n v="39080"/>
        <n v="39665"/>
        <n v="39895"/>
        <n v="41000"/>
        <n v="41430"/>
        <n v="41600"/>
        <n v="42000"/>
        <n v="42660"/>
        <n v="42800"/>
        <n v="43000"/>
        <n v="43330"/>
        <n v="44475"/>
        <n v="45500"/>
        <n v="46225"/>
        <n v="46305"/>
        <n v="49900"/>
        <n v="51728"/>
        <n v="54005"/>
        <n v="55705"/>
        <n v="60105"/>
        <n v="62000"/>
        <n v="69700"/>
        <n v="69725"/>
        <n v="71020"/>
        <n v="74970"/>
        <n v="82600"/>
        <n v="85500"/>
      </sharedItems>
    </cacheField>
    <cacheField name="Year Resale Value" numFmtId="0">
      <sharedItems containsSemiMixedTypes="0" containsString="0" containsNumber="1" minValue="5160" maxValue="67550" count="152">
        <n v="5160"/>
        <n v="5860"/>
        <n v="7425"/>
        <n v="7750"/>
        <n v="7825"/>
        <n v="7850"/>
        <n v="8325"/>
        <n v="8450"/>
        <n v="8670"/>
        <n v="8800"/>
        <n v="8835"/>
        <n v="8910"/>
        <n v="9125"/>
        <n v="9200"/>
        <n v="9250"/>
        <n v="9575"/>
        <n v="9800"/>
        <n v="9850"/>
        <n v="9900"/>
        <n v="10025"/>
        <n v="10055"/>
        <n v="10185"/>
        <n v="10290"/>
        <n v="10310"/>
        <n v="10395"/>
        <n v="10590"/>
        <n v="10595"/>
        <n v="10670"/>
        <n v="10790"/>
        <n v="11030"/>
        <n v="11225"/>
        <n v="11240"/>
        <n v="11260"/>
        <n v="11295"/>
        <n v="11425"/>
        <n v="11459"/>
        <n v="11525"/>
        <n v="11550"/>
        <n v="11986"/>
        <n v="12025"/>
        <n v="12275"/>
        <n v="12360"/>
        <n v="12475"/>
        <n v="12545"/>
        <n v="12640"/>
        <n v="12760"/>
        <n v="13025"/>
        <n v="13093"/>
        <n v="13175"/>
        <n v="13210"/>
        <n v="13225"/>
        <n v="13240"/>
        <n v="13245"/>
        <n v="13325"/>
        <n v="13360"/>
        <n v="13425"/>
        <n v="13475"/>
        <n v="13700"/>
        <n v="13725"/>
        <n v="13740"/>
        <n v="13760"/>
        <n v="13775"/>
        <n v="13790"/>
        <n v="13880"/>
        <n v="13890"/>
        <n v="14010"/>
        <n v="14180"/>
        <n v="14210"/>
        <n v="14215"/>
        <n v="14334"/>
        <n v="14795"/>
        <n v="14832"/>
        <n v="14875"/>
        <n v="15060"/>
        <n v="15075"/>
        <n v="15125"/>
        <n v="15240"/>
        <n v="15252"/>
        <n v="15380"/>
        <n v="15445"/>
        <n v="15510"/>
        <n v="16360"/>
        <n v="16575"/>
        <n v="16640"/>
        <n v="16725"/>
        <n v="16770"/>
        <n v="17100"/>
        <n v="17325"/>
        <n v="17525"/>
        <n v="17710"/>
        <n v="17805"/>
        <n v="17810"/>
        <n v="18140"/>
        <n v="18225"/>
        <n v="18255"/>
        <n v="18425"/>
        <n v="18689"/>
        <n v="18810"/>
        <n v="18900"/>
        <n v="19125"/>
        <n v="19425"/>
        <n v="19490"/>
        <n v="19690"/>
        <n v="19875"/>
        <n v="19890"/>
        <n v="19925"/>
        <n v="20190"/>
        <n v="20223"/>
        <n v="20430"/>
        <n v="20525"/>
        <n v="20765"/>
        <n v="20940"/>
        <n v="21436"/>
        <n v="21725"/>
        <n v="22255"/>
        <n v="22525"/>
        <n v="22789"/>
        <n v="23555"/>
        <n v="23575"/>
        <n v="24500"/>
        <n v="25725"/>
        <n v="26050"/>
        <n v="26403"/>
        <n v="26975"/>
        <n v="27100"/>
        <n v="28635"/>
        <n v="28675"/>
        <n v="28720"/>
        <n v="29140"/>
        <n v="29200"/>
        <n v="29725"/>
        <n v="30434"/>
        <n v="31245"/>
        <n v="32075"/>
        <n v="32436"/>
        <n v="33219"/>
        <n v="34080"/>
        <n v="34175"/>
        <n v="36125"/>
        <n v="36225"/>
        <n v="38955"/>
        <n v="39000"/>
        <n v="40375"/>
        <n v="41250"/>
        <n v="41450"/>
        <n v="43870"/>
        <n v="50375"/>
        <n v="58470"/>
        <n v="58600"/>
        <n v="60625"/>
        <n v="63423"/>
        <n v="67550"/>
      </sharedItems>
    </cacheField>
    <cacheField name="Retention %" numFmtId="0">
      <sharedItems containsSemiMixedTypes="0" containsString="0" containsNumber="1" minValue="0.479110632956787" maxValue="0.995655322230268" count="154">
        <n v="0.479110632956787"/>
        <n v="0.486755743084857"/>
        <n v="0.501384721901685"/>
        <n v="0.503460207612457"/>
        <n v="0.518638098033461"/>
        <n v="0.521139993736298"/>
        <n v="0.521805273833671"/>
        <n v="0.525204708290686"/>
        <n v="0.535127362366475"/>
        <n v="0.541871921182266"/>
        <n v="0.543083003952569"/>
        <n v="0.545434347922684"/>
        <n v="0.545755237045204"/>
        <n v="0.54579142403388"/>
        <n v="0.549007701013001"/>
        <n v="0.553948013732222"/>
        <n v="0.554515311098108"/>
        <n v="0.556724900021048"/>
        <n v="0.558743909041689"/>
        <n v="0.559680712827177"/>
        <n v="0.562202963377132"/>
        <n v="0.564607093620755"/>
        <n v="0.56769055745165"/>
        <n v="0.574279573665512"/>
        <n v="0.576212427140082"/>
        <n v="0.578893651765666"/>
        <n v="0.579458891515629"/>
        <n v="0.582597825675215"/>
        <n v="0.587713640761045"/>
        <n v="0.591836734693878"/>
        <n v="0.594039602640176"/>
        <n v="0.594378545642084"/>
        <n v="0.595195538714521"/>
        <n v="0.596422582448295"/>
        <n v="0.601282736504543"/>
        <n v="0.601302031958966"/>
        <n v="0.604185998556552"/>
        <n v="0.60787057578757"/>
        <n v="0.609331084879146"/>
        <n v="0.609452736318408"/>
        <n v="0.610416546638244"/>
        <n v="0.611326746647848"/>
        <n v="0.611434621492853"/>
        <n v="0.612564102564103"/>
        <n v="0.613132911392405"/>
        <n v="0.614617940199336"/>
        <n v="0.615161557580779"/>
        <n v="0.615366651097618"/>
        <n v="0.616149509477516"/>
        <n v="0.616992582602832"/>
        <n v="0.619454395150179"/>
        <n v="0.622983870967742"/>
        <n v="0.625081967213115"/>
        <n v="0.625972294244018"/>
        <n v="0.6272030651341"/>
        <n v="0.629032258064516"/>
        <n v="0.630577884676245"/>
        <n v="0.631317457598081"/>
        <n v="0.631628343500704"/>
        <n v="0.637141535615171"/>
        <n v="0.637931034482759"/>
        <n v="0.638130495141138"/>
        <n v="0.640234287001577"/>
        <n v="0.646665128086776"/>
        <n v="0.648556662044624"/>
        <n v="0.650300691140831"/>
        <n v="0.651452282157676"/>
        <n v="0.652414556524146"/>
        <n v="0.65365329512894"/>
        <n v="0.65726343847179"/>
        <n v="0.658040256580403"/>
        <n v="0.658703071672355"/>
        <n v="0.658830807299722"/>
        <n v="0.658834586466165"/>
        <n v="0.659560293137908"/>
        <n v="0.663079569548346"/>
        <n v="0.663133097762073"/>
        <n v="0.663191795914908"/>
        <n v="0.668250466655354"/>
        <n v="0.675932936722553"/>
        <n v="0.678863017840944"/>
        <n v="0.687272727272727"/>
        <n v="0.688073671497585"/>
        <n v="0.693814432989691"/>
        <n v="0.697586726998492"/>
        <n v="0.698414634146341"/>
        <n v="0.699386503067485"/>
        <n v="0.699425287356322"/>
        <n v="0.699823943661972"/>
        <n v="0.701923076923077"/>
        <n v="0.7021875"/>
        <n v="0.703476886606085"/>
        <n v="0.704019488428745"/>
        <n v="0.707738095238095"/>
        <n v="0.707767441860465"/>
        <n v="0.708074534161491"/>
        <n v="0.709443099273608"/>
        <n v="0.710119397142298"/>
        <n v="0.722740315638451"/>
        <n v="0.722745625841184"/>
        <n v="0.727369259357579"/>
        <n v="0.727656579873329"/>
        <n v="0.729889360286166"/>
        <n v="0.733416666666667"/>
        <n v="0.738094053247076"/>
        <n v="0.738929279576999"/>
        <n v="0.741291727140784"/>
        <n v="0.741789473684211"/>
        <n v="0.747615961485048"/>
        <n v="0.749615384615385"/>
        <n v="0.751098901098901"/>
        <n v="0.753836477987421"/>
        <n v="0.755073477956613"/>
        <n v="0.756079461125699"/>
        <n v="0.76093023255814"/>
        <n v="0.764454792394257"/>
        <n v="0.764800122062862"/>
        <n v="0.766778523489933"/>
        <n v="0.766990291262136"/>
        <n v="0.773895169578623"/>
        <n v="0.776144859813084"/>
        <n v="0.786285714285714"/>
        <n v="0.788915094339623"/>
        <n v="0.789021790620559"/>
        <n v="0.792814371257485"/>
        <n v="0.813597733711048"/>
        <n v="0.814747244393767"/>
        <n v="0.820472440944882"/>
        <n v="0.82278978388998"/>
        <n v="0.829164582291146"/>
        <n v="0.83058639833449"/>
        <n v="0.830661322645291"/>
        <n v="0.833830334190231"/>
        <n v="0.835523962804006"/>
        <n v="0.838580136249552"/>
        <n v="0.839782345828295"/>
        <n v="0.841269841269841"/>
        <n v="0.842074844675625"/>
        <n v="0.844834463502194"/>
        <n v="0.848432746991139"/>
        <n v="0.853632779498733"/>
        <n v="0.856213299476274"/>
        <n v="0.858532934131737"/>
        <n v="0.860586319218241"/>
        <n v="0.861020121665887"/>
        <n v="0.861800486618005"/>
        <n v="0.871545226130653"/>
        <n v="0.901027077497666"/>
        <n v="0.907743608743979"/>
        <n v="0.915259259259259"/>
        <n v="0.927678199249687"/>
        <n v="0.92866323907455"/>
        <n v="0.931881051175657"/>
        <n v="0.995655322230268"/>
      </sharedItems>
    </cacheField>
    <cacheField name="Retention Value" numFmtId="0">
      <sharedItems count="2">
        <s v="GOOD"/>
        <s v="POOR"/>
      </sharedItems>
    </cacheField>
    <cacheField name="Engine Size" numFmtId="0">
      <sharedItems containsSemiMixedTypes="0" containsString="0" containsNumber="1" minValue="1" maxValue="8" count="31">
        <n v="1"/>
        <n v="1.5"/>
        <n v="1.6"/>
        <n v="1.8"/>
        <n v="1.9"/>
        <n v="2"/>
        <n v="2.2"/>
        <n v="2.3"/>
        <n v="2.4"/>
        <n v="2.5"/>
        <n v="2.7"/>
        <n v="2.8"/>
        <n v="2.9"/>
        <n v="3"/>
        <n v="3.1"/>
        <n v="3.2"/>
        <n v="3.3"/>
        <n v="3.4"/>
        <n v="3.5"/>
        <n v="3.8"/>
        <n v="3.9"/>
        <n v="4"/>
        <n v="4.2"/>
        <n v="4.3"/>
        <n v="4.6"/>
        <n v="4.7"/>
        <n v="5"/>
        <n v="5.2"/>
        <n v="5.4"/>
        <n v="5.7"/>
        <n v="8"/>
      </sharedItems>
    </cacheField>
    <cacheField name="Horsepower" numFmtId="0">
      <sharedItems containsSemiMixedTypes="0" containsString="0" containsNumber="1" containsInteger="1" minValue="55" maxValue="450" count="66">
        <n v="55"/>
        <n v="92"/>
        <n v="100"/>
        <n v="106"/>
        <n v="107"/>
        <n v="110"/>
        <n v="113"/>
        <n v="115"/>
        <n v="119"/>
        <n v="120"/>
        <n v="124"/>
        <n v="125"/>
        <n v="126"/>
        <n v="127"/>
        <n v="132"/>
        <n v="133"/>
        <n v="135"/>
        <n v="137"/>
        <n v="140"/>
        <n v="142"/>
        <n v="145"/>
        <n v="146"/>
        <n v="148"/>
        <n v="150"/>
        <n v="153"/>
        <n v="154"/>
        <n v="155"/>
        <n v="160"/>
        <n v="161"/>
        <n v="163"/>
        <n v="165"/>
        <n v="168"/>
        <n v="170"/>
        <n v="173"/>
        <n v="175"/>
        <n v="180"/>
        <n v="185"/>
        <n v="190"/>
        <n v="193"/>
        <n v="194"/>
        <n v="195"/>
        <n v="200"/>
        <n v="201"/>
        <n v="202"/>
        <n v="205"/>
        <n v="210"/>
        <n v="215"/>
        <n v="217"/>
        <n v="220"/>
        <n v="221"/>
        <n v="222"/>
        <n v="225"/>
        <n v="227"/>
        <n v="230"/>
        <n v="236"/>
        <n v="240"/>
        <n v="250"/>
        <n v="253"/>
        <n v="255"/>
        <n v="275"/>
        <n v="290"/>
        <n v="300"/>
        <n v="302"/>
        <n v="310"/>
        <n v="345"/>
        <n v="450"/>
      </sharedItems>
    </cacheField>
    <cacheField name="HP Level" numFmtId="0">
      <sharedItems count="3">
        <s v="High HP"/>
        <s v="Low HP"/>
        <s v="Medium HP"/>
      </sharedItems>
    </cacheField>
    <cacheField name="Vehicle_type" numFmtId="0">
      <sharedItems count="2">
        <s v="Car"/>
        <s v="Passenger"/>
      </sharedItems>
    </cacheField>
    <cacheField name="Fuel Efficiency" numFmtId="0">
      <sharedItems containsSemiMixedTypes="0" containsString="0" containsNumber="1" containsInteger="1" minValue="15" maxValue="45" count="20"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45"/>
      </sharedItems>
    </cacheField>
    <cacheField name="Power Perf Factor" numFmtId="0">
      <sharedItems containsSemiMixedTypes="0" containsString="0" containsNumber="1" minValue="23.27627233" maxValue="188.144323" count="154">
        <n v="23.27627233"/>
        <n v="36.67228358"/>
        <n v="39.98642475"/>
        <n v="40.70007242"/>
        <n v="42.87909734"/>
        <n v="43.11713201"/>
        <n v="44.08370946"/>
        <n v="45.83218056"/>
        <n v="46.36334747"/>
        <n v="46.94387676"/>
        <n v="47.32963226"/>
        <n v="47.38953131"/>
        <n v="47.63823666"/>
        <n v="47.94684106"/>
        <n v="47.96897242"/>
        <n v="48.2976361"/>
        <n v="48.67289791"/>
        <n v="48.90737225"/>
        <n v="49.64500177"/>
        <n v="49.86577367"/>
        <n v="50.24197791"/>
        <n v="50.99774761"/>
        <n v="51.11347426"/>
        <n v="51.95510887"/>
        <n v="52.08489875"/>
        <n v="53.41189767"/>
        <n v="53.56619987"/>
        <n v="54.26954829"/>
        <n v="54.37241965"/>
        <n v="54.59004516"/>
        <n v="54.81972825"/>
        <n v="55.29711658"/>
        <n v="56.29524304"/>
        <n v="56.49603034"/>
        <n v="58.28014952"/>
        <n v="58.60677292"/>
        <n v="58.758249"/>
        <n v="60.08796662"/>
        <n v="60.72744693"/>
        <n v="60.86161155"/>
        <n v="60.95118512"/>
        <n v="61.22700031"/>
        <n v="61.70138136"/>
        <n v="62.0158703"/>
        <n v="62.09504839"/>
        <n v="62.23996663"/>
        <n v="62.35557713"/>
        <n v="62.44196235"/>
        <n v="62.5037395"/>
        <n v="62.7776392"/>
        <n v="63.31372783"/>
        <n v="65.65050834"/>
        <n v="65.95718396"/>
        <n v="66.1130568"/>
        <n v="66.4988123"/>
        <n v="66.76294331"/>
        <n v="67.31446216"/>
        <n v="67.35101072"/>
        <n v="67.54415494"/>
        <n v="67.7659076"/>
        <n v="67.87610784"/>
        <n v="67.88927059"/>
        <n v="69.52135505"/>
        <n v="69.671461"/>
        <n v="69.78294434"/>
        <n v="69.9913956"/>
        <n v="70.07832154"/>
        <n v="70.38973726"/>
        <n v="70.65449545"/>
        <n v="70.66094179"/>
        <n v="71.13529161"/>
        <n v="71.1559776"/>
        <n v="71.17166413"/>
        <n v="71.18145132"/>
        <n v="71.19120671"/>
        <n v="71.83803944"/>
        <n v="72.03091719"/>
        <n v="72.29035508"/>
        <n v="73.50377819"/>
        <n v="76.02304771"/>
        <n v="76.09657042"/>
        <n v="76.20843952"/>
        <n v="76.50918456"/>
        <n v="76.58443962"/>
        <n v="78.02721947"/>
        <n v="78.28073088"/>
        <n v="78.31816813"/>
        <n v="80.02378204"/>
        <n v="80.38777912"/>
        <n v="80.49953671"/>
        <n v="80.51167259"/>
        <n v="80.65769646"/>
        <n v="80.83147017"/>
        <n v="81.11854333"/>
        <n v="81.49272616"/>
        <n v="81.84896924"/>
        <n v="81.87706856"/>
        <n v="82.6613556"/>
        <n v="82.80736193"/>
        <n v="83.48309358"/>
        <n v="83.6025008"/>
        <n v="83.92081504"/>
        <n v="83.9987238"/>
        <n v="84.25452581"/>
        <n v="84.56510502"/>
        <n v="84.83077858"/>
        <n v="84.91189826"/>
        <n v="85.21769134"/>
        <n v="85.73565451"/>
        <n v="85.82840825"/>
        <n v="85.94974425"/>
        <n v="86.27252291"/>
        <n v="87.21100104"/>
        <n v="87.63549578"/>
        <n v="89.40193473"/>
        <n v="89.42782031"/>
        <n v="90.21170005"/>
        <n v="90.49553213"/>
        <n v="91.37077766"/>
        <n v="91.38977933"/>
        <n v="91.94380156"/>
        <n v="92.43688923"/>
        <n v="92.85412522"/>
        <n v="92.92579177"/>
        <n v="93.4373307"/>
        <n v="93.9579169"/>
        <n v="94.9466984"/>
        <n v="95.63670253"/>
        <n v="98.2497375"/>
        <n v="100.0248023"/>
        <n v="101.3292807"/>
        <n v="101.6233572"/>
        <n v="101.6552441"/>
        <n v="102.1789848"/>
        <n v="102.5289842"/>
        <n v="103.4416926"/>
        <n v="105.760458"/>
        <n v="106.9844563"/>
        <n v="109.5091165"/>
        <n v="113.5402069"/>
        <n v="113.7658739"/>
        <n v="113.8545976"/>
        <n v="115.6213578"/>
        <n v="123.9720467"/>
        <n v="124.4467163"/>
        <n v="125.0133574"/>
        <n v="125.2738757"/>
        <n v="134.3909754"/>
        <n v="134.6568582"/>
        <n v="135.9147096"/>
        <n v="139.9822936"/>
        <n v="141.1009845"/>
        <n v="141.14115"/>
        <n v="188.144323"/>
      </sharedItems>
    </cacheField>
    <cacheField name="Wheelbase" numFmtId="0">
      <sharedItems containsSemiMixedTypes="0" containsString="0" containsNumber="1" minValue="92.6" maxValue="138.7" count="88">
        <n v="92.6"/>
        <n v="93.1"/>
        <n v="93.4"/>
        <n v="94.5"/>
        <n v="94.9"/>
        <n v="95.2"/>
        <n v="96.1"/>
        <n v="96.2"/>
        <n v="97"/>
        <n v="97.1"/>
        <n v="97.2"/>
        <n v="97.4"/>
        <n v="98.4"/>
        <n v="98.9"/>
        <n v="99"/>
        <n v="99.4"/>
        <n v="99.8"/>
        <n v="100.4"/>
        <n v="100.5"/>
        <n v="100.8"/>
        <n v="101.1"/>
        <n v="101.2"/>
        <n v="101.3"/>
        <n v="101.4"/>
        <n v="102.4"/>
        <n v="102.6"/>
        <n v="103"/>
        <n v="103.1"/>
        <n v="103.2"/>
        <n v="103.3"/>
        <n v="103.5"/>
        <n v="103.7"/>
        <n v="104.1"/>
        <n v="104.3"/>
        <n v="104.5"/>
        <n v="104.9"/>
        <n v="105"/>
        <n v="105.1"/>
        <n v="105.2"/>
        <n v="105.3"/>
        <n v="105.9"/>
        <n v="106"/>
        <n v="106.3"/>
        <n v="106.4"/>
        <n v="106.5"/>
        <n v="106.9"/>
        <n v="107"/>
        <n v="107.1"/>
        <n v="107.3"/>
        <n v="107.4"/>
        <n v="107.5"/>
        <n v="108"/>
        <n v="108.1"/>
        <n v="108.3"/>
        <n v="108.5"/>
        <n v="108.7"/>
        <n v="109"/>
        <n v="109.6"/>
        <n v="109.9"/>
        <n v="110.2"/>
        <n v="110.5"/>
        <n v="111"/>
        <n v="111.4"/>
        <n v="111.5"/>
        <n v="111.6"/>
        <n v="112.2"/>
        <n v="113"/>
        <n v="113.3"/>
        <n v="113.6"/>
        <n v="113.8"/>
        <n v="114.2"/>
        <n v="114.5"/>
        <n v="114.6"/>
        <n v="114.7"/>
        <n v="115.3"/>
        <n v="115.7"/>
        <n v="116.1"/>
        <n v="117.5"/>
        <n v="117.7"/>
        <n v="118.1"/>
        <n v="119"/>
        <n v="120"/>
        <n v="120.7"/>
        <n v="121.5"/>
        <n v="127.2"/>
        <n v="131"/>
        <n v="138.5"/>
        <n v="138.7"/>
      </sharedItems>
    </cacheField>
    <cacheField name="Width" numFmtId="0">
      <sharedItems containsSemiMixedTypes="0" containsString="0" containsNumber="1" minValue="62.6" maxValue="79.9" count="78">
        <n v="62.6"/>
        <n v="65.7"/>
        <n v="66.4"/>
        <n v="66.5"/>
        <n v="66.7"/>
        <n v="66.9"/>
        <n v="67"/>
        <n v="67.1"/>
        <n v="67.3"/>
        <n v="67.4"/>
        <n v="67.5"/>
        <n v="67.6"/>
        <n v="67.7"/>
        <n v="67.8"/>
        <n v="67.9"/>
        <n v="68.2"/>
        <n v="68.3"/>
        <n v="68.4"/>
        <n v="68.5"/>
        <n v="68.9"/>
        <n v="69"/>
        <n v="69.1"/>
        <n v="69.2"/>
        <n v="69.3"/>
        <n v="69.4"/>
        <n v="69.5"/>
        <n v="69.6"/>
        <n v="69.7"/>
        <n v="69.9"/>
        <n v="70.1"/>
        <n v="70.2"/>
        <n v="70.3"/>
        <n v="70.4"/>
        <n v="70.5"/>
        <n v="70.6"/>
        <n v="70.8"/>
        <n v="70.9"/>
        <n v="71"/>
        <n v="71.3"/>
        <n v="71.4"/>
        <n v="71.5"/>
        <n v="71.6"/>
        <n v="71.7"/>
        <n v="72"/>
        <n v="72.1"/>
        <n v="72.2"/>
        <n v="72.3"/>
        <n v="72.4"/>
        <n v="72.5"/>
        <n v="72.6"/>
        <n v="72.7"/>
        <n v="73"/>
        <n v="73.1"/>
        <n v="73.4"/>
        <n v="73.5"/>
        <n v="73.6"/>
        <n v="74"/>
        <n v="74.1"/>
        <n v="74.4"/>
        <n v="74.5"/>
        <n v="74.7"/>
        <n v="74.9"/>
        <n v="75"/>
        <n v="75.5"/>
        <n v="75.6"/>
        <n v="75.7"/>
        <n v="76.1"/>
        <n v="76.3"/>
        <n v="76.4"/>
        <n v="76.6"/>
        <n v="76.8"/>
        <n v="77"/>
        <n v="78.2"/>
        <n v="78.7"/>
        <n v="78.8"/>
        <n v="79.1"/>
        <n v="79.3"/>
        <n v="79.9"/>
      </sharedItems>
    </cacheField>
    <cacheField name="Length" numFmtId="0">
      <sharedItems containsSemiMixedTypes="0" containsString="0" containsNumber="1" minValue="149.4" maxValue="224.5" count="127">
        <n v="149.4"/>
        <n v="152"/>
        <n v="157.3"/>
        <n v="157.9"/>
        <n v="160.4"/>
        <n v="161.1"/>
        <n v="163.3"/>
        <n v="163.8"/>
        <n v="165.4"/>
        <n v="166.7"/>
        <n v="167.5"/>
        <n v="170.5"/>
        <n v="171"/>
        <n v="172.3"/>
        <n v="172.4"/>
        <n v="173.6"/>
        <n v="174"/>
        <n v="174.3"/>
        <n v="174.4"/>
        <n v="174.5"/>
        <n v="174.7"/>
        <n v="174.8"/>
        <n v="175.1"/>
        <n v="175.2"/>
        <n v="175.4"/>
        <n v="176"/>
        <n v="176.6"/>
        <n v="176.7"/>
        <n v="176.9"/>
        <n v="177.1"/>
        <n v="177.4"/>
        <n v="177.5"/>
        <n v="177.6"/>
        <n v="178"/>
        <n v="178.2"/>
        <n v="178.3"/>
        <n v="178.7"/>
        <n v="179.7"/>
        <n v="180"/>
        <n v="180.1"/>
        <n v="180.3"/>
        <n v="180.6"/>
        <n v="180.9"/>
        <n v="181.2"/>
        <n v="181.5"/>
        <n v="181.9"/>
        <n v="182.2"/>
        <n v="182.6"/>
        <n v="183.2"/>
        <n v="183.3"/>
        <n v="183.5"/>
        <n v="184.1"/>
        <n v="184.6"/>
        <n v="184.8"/>
        <n v="185"/>
        <n v="185.4"/>
        <n v="185.7"/>
        <n v="185.8"/>
        <n v="185.9"/>
        <n v="186"/>
        <n v="186.2"/>
        <n v="186.3"/>
        <n v="186.6"/>
        <n v="186.7"/>
        <n v="187.8"/>
        <n v="188"/>
        <n v="188.5"/>
        <n v="188.8"/>
        <n v="189.2"/>
        <n v="189.4"/>
        <n v="189.8"/>
        <n v="190.1"/>
        <n v="190.2"/>
        <n v="190.4"/>
        <n v="190.5"/>
        <n v="190.7"/>
        <n v="190.9"/>
        <n v="191.3"/>
        <n v="191.9"/>
        <n v="192"/>
        <n v="192.5"/>
        <n v="192.6"/>
        <n v="192.9"/>
        <n v="193"/>
        <n v="193.2"/>
        <n v="193.4"/>
        <n v="193.5"/>
        <n v="193.7"/>
        <n v="194.1"/>
        <n v="194.6"/>
        <n v="194.7"/>
        <n v="194.8"/>
        <n v="195.9"/>
        <n v="196.1"/>
        <n v="196.2"/>
        <n v="196.5"/>
        <n v="196.6"/>
        <n v="196.7"/>
        <n v="197.6"/>
        <n v="197.8"/>
        <n v="197.9"/>
        <n v="198.2"/>
        <n v="199.7"/>
        <n v="200"/>
        <n v="200.6"/>
        <n v="200.7"/>
        <n v="200.9"/>
        <n v="201"/>
        <n v="201.2"/>
        <n v="201.3"/>
        <n v="201.4"/>
        <n v="202.5"/>
        <n v="203.1"/>
        <n v="203.7"/>
        <n v="204.6"/>
        <n v="204.8"/>
        <n v="205.4"/>
        <n v="206.8"/>
        <n v="207.2"/>
        <n v="207.7"/>
        <n v="208.5"/>
        <n v="209.1"/>
        <n v="212"/>
        <n v="215"/>
        <n v="215.3"/>
        <n v="224.2"/>
        <n v="224.5"/>
      </sharedItems>
    </cacheField>
    <cacheField name="Curb Weight" numFmtId="0">
      <sharedItems containsSemiMixedTypes="0" containsString="0" containsNumber="1" minValue="1.895" maxValue="5.572" count="147">
        <n v="1.895"/>
        <n v="2.24"/>
        <n v="2.25"/>
        <n v="2.332"/>
        <n v="2.339"/>
        <n v="2.367"/>
        <n v="2.398"/>
        <n v="2.42"/>
        <n v="2.425"/>
        <n v="2.452"/>
        <n v="2.468"/>
        <n v="2.559"/>
        <n v="2.564"/>
        <n v="2.567"/>
        <n v="2.58"/>
        <n v="2.593"/>
        <n v="2.626"/>
        <n v="2.639"/>
        <n v="2.668"/>
        <n v="2.676"/>
        <n v="2.762"/>
        <n v="2.767"/>
        <n v="2.769"/>
        <n v="2.778"/>
        <n v="2.85"/>
        <n v="2.853"/>
        <n v="2.879"/>
        <n v="2.892"/>
        <n v="2.906"/>
        <n v="2.91"/>
        <n v="2.911"/>
        <n v="2.932"/>
        <n v="2.942"/>
        <n v="2.945"/>
        <n v="2.958"/>
        <n v="2.967"/>
        <n v="2.975"/>
        <n v="2.99"/>
        <n v="2.998"/>
        <n v="3.012"/>
        <n v="3.032"/>
        <n v="3.042"/>
        <n v="3.043"/>
        <n v="3.045"/>
        <n v="3.051"/>
        <n v="3.055"/>
        <n v="3.058"/>
        <n v="3.072"/>
        <n v="3.075"/>
        <n v="3.079"/>
        <n v="3.086"/>
        <n v="3.091"/>
        <n v="3.102"/>
        <n v="3.125"/>
        <n v="3.131"/>
        <n v="3.179"/>
        <n v="3.194"/>
        <n v="3.197"/>
        <n v="3.203"/>
        <n v="3.208"/>
        <n v="3.21"/>
        <n v="3.213"/>
        <n v="3.217"/>
        <n v="3.219"/>
        <n v="3.25"/>
        <n v="3.259"/>
        <n v="3.28"/>
        <n v="3.294"/>
        <n v="3.33"/>
        <n v="3.332"/>
        <n v="3.34"/>
        <n v="3.342"/>
        <n v="3.368"/>
        <n v="3.373"/>
        <n v="3.375"/>
        <n v="3.379"/>
        <n v="3.389"/>
        <n v="3.396"/>
        <n v="3.415"/>
        <n v="3.417"/>
        <n v="3.44"/>
        <n v="3.443"/>
        <n v="3.452"/>
        <n v="3.455"/>
        <n v="3.472"/>
        <n v="3.489"/>
        <n v="3.492"/>
        <n v="3.5"/>
        <n v="3.51"/>
        <n v="3.517"/>
        <n v="3.528"/>
        <n v="3.533"/>
        <n v="3.543"/>
        <n v="3.557"/>
        <n v="3.561"/>
        <n v="3.564"/>
        <n v="3.567"/>
        <n v="3.59"/>
        <n v="3.591"/>
        <n v="3.6"/>
        <n v="3.601"/>
        <n v="3.638"/>
        <n v="3.65"/>
        <n v="3.693"/>
        <n v="3.759"/>
        <n v="3.761"/>
        <n v="3.77"/>
        <n v="3.778"/>
        <n v="3.821"/>
        <n v="3.823"/>
        <n v="3.843"/>
        <n v="3.85"/>
        <n v="3.857"/>
        <n v="3.868"/>
        <n v="3.875"/>
        <n v="3.876"/>
        <n v="3.88"/>
        <n v="3.89"/>
        <n v="3.9"/>
        <n v="3.902"/>
        <n v="3.908"/>
        <n v="3.942"/>
        <n v="3.944"/>
        <n v="3.947"/>
        <n v="3.948"/>
        <n v="3.958"/>
        <n v="3.967"/>
        <n v="3.978"/>
        <n v="3.991"/>
        <n v="4.068"/>
        <n v="4.115"/>
        <n v="4.121"/>
        <n v="4.125"/>
        <n v="4.133"/>
        <n v="4.241"/>
        <n v="4.245"/>
        <n v="4.288"/>
        <n v="4.298"/>
        <n v="4.387"/>
        <n v="4.394"/>
        <n v="4.47"/>
        <n v="4.52"/>
        <n v="4.808"/>
        <n v="5.115"/>
        <n v="5.393"/>
        <n v="5.401"/>
        <n v="5.572"/>
      </sharedItems>
    </cacheField>
    <cacheField name="Fuel Capacity" numFmtId="0">
      <sharedItems containsSemiMixedTypes="0" containsString="0" containsNumber="1" minValue="10.3" maxValue="32" count="55">
        <n v="10.3"/>
        <n v="11.9"/>
        <n v="12"/>
        <n v="12.1"/>
        <n v="12.5"/>
        <n v="12.7"/>
        <n v="13.1"/>
        <n v="13.2"/>
        <n v="13.7"/>
        <n v="14"/>
        <n v="14.3"/>
        <n v="14.5"/>
        <n v="14.6"/>
        <n v="15"/>
        <n v="15.1"/>
        <n v="15.2"/>
        <n v="15.3"/>
        <n v="15.7"/>
        <n v="15.8"/>
        <n v="15.9"/>
        <n v="16"/>
        <n v="16.3"/>
        <n v="16.4"/>
        <n v="16.6"/>
        <n v="16.8"/>
        <n v="16.9"/>
        <n v="17"/>
        <n v="17.1"/>
        <n v="17.2"/>
        <n v="17.5"/>
        <n v="17.9"/>
        <n v="18"/>
        <n v="18.4"/>
        <n v="18.5"/>
        <n v="19"/>
        <n v="19.1"/>
        <n v="19.4"/>
        <n v="19.5"/>
        <n v="19.8"/>
        <n v="20"/>
        <n v="20.5"/>
        <n v="20.9"/>
        <n v="21"/>
        <n v="21.1"/>
        <n v="22"/>
        <n v="22.5"/>
        <n v="23.2"/>
        <n v="23.7"/>
        <n v="24.3"/>
        <n v="25"/>
        <n v="25.1"/>
        <n v="25.4"/>
        <n v="26"/>
        <n v="30"/>
        <n v="32"/>
      </sharedItems>
    </cacheField>
    <cacheField name="Latest Launch" numFmtId="0">
      <sharedItems containsSemiMixedTypes="0" containsNonDate="0" containsDate="1" containsString="0" minDate="2008-02-13T00:00:00" maxDate="2012-12-29T00:00:00" count="129">
        <d v="2008-02-13T00:00:00"/>
        <d v="2009-10-20T00:00:00"/>
        <d v="2011-01-15T00:00:00"/>
        <d v="2011-01-16T00:00:00"/>
        <d v="2011-01-24T00:00:00"/>
        <d v="2011-02-10T00:00:00"/>
        <d v="2011-02-18T00:00:00"/>
        <d v="2011-03-07T00:00:00"/>
        <d v="2011-03-10T00:00:00"/>
        <d v="2011-03-16T00:00:00"/>
        <d v="2011-03-17T00:00:00"/>
        <d v="2011-04-01T00:00:00"/>
        <d v="2011-04-04T00:00:00"/>
        <d v="2011-04-11T00:00:00"/>
        <d v="2011-04-24T00:00:00"/>
        <d v="2011-04-26T00:00:00"/>
        <d v="2011-04-29T00:00:00"/>
        <d v="2011-05-06T00:00:00"/>
        <d v="2011-05-18T00:00:00"/>
        <d v="2011-05-24T00:00:00"/>
        <d v="2011-05-31T00:00:00"/>
        <d v="2011-06-03T00:00:00"/>
        <d v="2011-06-12T00:00:00"/>
        <d v="2011-06-13T00:00:00"/>
        <d v="2011-06-18T00:00:00"/>
        <d v="2011-06-25T00:00:00"/>
        <d v="2011-06-28T00:00:00"/>
        <d v="2011-07-07T00:00:00"/>
        <d v="2011-07-08T00:00:00"/>
        <d v="2011-07-11T00:00:00"/>
        <d v="2011-07-12T00:00:00"/>
        <d v="2011-07-23T00:00:00"/>
        <d v="2011-08-01T00:00:00"/>
        <d v="2011-08-02T00:00:00"/>
        <d v="2011-08-05T00:00:00"/>
        <d v="2011-08-06T00:00:00"/>
        <d v="2011-08-07T00:00:00"/>
        <d v="2011-08-09T00:00:00"/>
        <d v="2011-08-17T00:00:00"/>
        <d v="2011-08-27T00:00:00"/>
        <d v="2011-08-31T00:00:00"/>
        <d v="2011-09-01T00:00:00"/>
        <d v="2011-09-03T00:00:00"/>
        <d v="2011-09-11T00:00:00"/>
        <d v="2011-09-21T00:00:00"/>
        <d v="2011-09-25T00:00:00"/>
        <d v="2011-09-26T00:00:00"/>
        <d v="2011-09-28T00:00:00"/>
        <d v="2011-10-06T00:00:00"/>
        <d v="2011-10-08T00:00:00"/>
        <d v="2011-10-20T00:00:00"/>
        <d v="2011-10-21T00:00:00"/>
        <d v="2011-10-23T00:00:00"/>
        <d v="2011-10-31T00:00:00"/>
        <d v="2011-11-02T00:00:00"/>
        <d v="2011-11-14T00:00:00"/>
        <d v="2011-11-15T00:00:00"/>
        <d v="2011-11-17T00:00:00"/>
        <d v="2011-11-25T00:00:00"/>
        <d v="2011-11-27T00:00:00"/>
        <d v="2011-12-10T00:00:00"/>
        <d v="2011-12-12T00:00:00"/>
        <d v="2011-12-20T00:00:00"/>
        <d v="2011-12-22T00:00:00"/>
        <d v="2012-01-04T00:00:00"/>
        <d v="2012-01-06T00:00:00"/>
        <d v="2012-01-14T00:00:00"/>
        <d v="2012-01-16T00:00:00"/>
        <d v="2012-01-17T00:00:00"/>
        <d v="2012-01-25T00:00:00"/>
        <d v="2012-01-29T00:00:00"/>
        <d v="2012-01-31T00:00:00"/>
        <d v="2012-02-02T00:00:00"/>
        <d v="2012-02-08T00:00:00"/>
        <d v="2012-02-10T00:00:00"/>
        <d v="2012-02-19T00:00:00"/>
        <d v="2012-02-23T00:00:00"/>
        <d v="2012-02-25T00:00:00"/>
        <d v="2012-02-27T00:00:00"/>
        <d v="2012-03-04T00:00:00"/>
        <d v="2012-03-06T00:00:00"/>
        <d v="2012-03-19T00:00:00"/>
        <d v="2012-03-21T00:00:00"/>
        <d v="2012-03-23T00:00:00"/>
        <d v="2012-03-29T00:00:00"/>
        <d v="2012-03-31T00:00:00"/>
        <d v="2012-04-13T00:00:00"/>
        <d v="2012-04-15T00:00:00"/>
        <d v="2012-04-17T00:00:00"/>
        <d v="2012-04-23T00:00:00"/>
        <d v="2012-04-25T00:00:00"/>
        <d v="2012-05-08T00:00:00"/>
        <d v="2012-05-10T00:00:00"/>
        <d v="2012-05-12T00:00:00"/>
        <d v="2012-05-18T00:00:00"/>
        <d v="2012-05-20T00:00:00"/>
        <d v="2012-06-02T00:00:00"/>
        <d v="2012-06-04T00:00:00"/>
        <d v="2012-06-06T00:00:00"/>
        <d v="2012-06-14T00:00:00"/>
        <d v="2012-06-16T00:00:00"/>
        <d v="2012-06-27T00:00:00"/>
        <d v="2012-06-29T00:00:00"/>
        <d v="2012-07-01T00:00:00"/>
        <d v="2012-07-09T00:00:00"/>
        <d v="2012-07-22T00:00:00"/>
        <d v="2012-07-24T00:00:00"/>
        <d v="2012-07-26T00:00:00"/>
        <d v="2012-08-03T00:00:00"/>
        <d v="2012-08-16T00:00:00"/>
        <d v="2012-08-20T00:00:00"/>
        <d v="2012-08-28T00:00:00"/>
        <d v="2012-09-10T00:00:00"/>
        <d v="2012-09-14T00:00:00"/>
        <d v="2012-09-22T00:00:00"/>
        <d v="2012-10-05T00:00:00"/>
        <d v="2012-10-09T00:00:00"/>
        <d v="2012-10-15T00:00:00"/>
        <d v="2012-10-30T00:00:00"/>
        <d v="2012-11-03T00:00:00"/>
        <d v="2012-11-09T00:00:00"/>
        <d v="2012-11-24T00:00:00"/>
        <d v="2012-11-26T00:00:00"/>
        <d v="2012-11-28T00:00:00"/>
        <d v="2012-12-04T00:00:00"/>
        <d v="2012-12-19T00:00:00"/>
        <d v="2012-12-21T00:00:00"/>
        <d v="2012-12-23T00:00:00"/>
        <d v="2012-12-29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">
  <r>
    <x v="0"/>
    <x v="78"/>
    <x v="47"/>
    <x v="60"/>
    <x v="81"/>
    <x v="114"/>
    <x v="0"/>
    <x v="3"/>
    <x v="18"/>
    <x v="2"/>
    <x v="1"/>
    <x v="13"/>
    <x v="34"/>
    <x v="21"/>
    <x v="8"/>
    <x v="14"/>
    <x v="17"/>
    <x v="7"/>
    <x v="72"/>
  </r>
  <r>
    <x v="0"/>
    <x v="144"/>
    <x v="92"/>
    <x v="103"/>
    <x v="103"/>
    <x v="88"/>
    <x v="0"/>
    <x v="15"/>
    <x v="51"/>
    <x v="2"/>
    <x v="1"/>
    <x v="10"/>
    <x v="118"/>
    <x v="52"/>
    <x v="31"/>
    <x v="82"/>
    <x v="89"/>
    <x v="28"/>
    <x v="21"/>
  </r>
  <r>
    <x v="0"/>
    <x v="119"/>
    <x v="23"/>
    <x v="131"/>
    <x v="130"/>
    <x v="93"/>
    <x v="0"/>
    <x v="18"/>
    <x v="45"/>
    <x v="2"/>
    <x v="1"/>
    <x v="7"/>
    <x v="119"/>
    <x v="72"/>
    <x v="39"/>
    <x v="96"/>
    <x v="111"/>
    <x v="31"/>
    <x v="8"/>
  </r>
  <r>
    <x v="1"/>
    <x v="8"/>
    <x v="59"/>
    <x v="78"/>
    <x v="114"/>
    <x v="150"/>
    <x v="0"/>
    <x v="3"/>
    <x v="23"/>
    <x v="2"/>
    <x v="1"/>
    <x v="12"/>
    <x v="49"/>
    <x v="25"/>
    <x v="15"/>
    <x v="33"/>
    <x v="38"/>
    <x v="22"/>
    <x v="49"/>
  </r>
  <r>
    <x v="1"/>
    <x v="9"/>
    <x v="53"/>
    <x v="117"/>
    <x v="117"/>
    <x v="83"/>
    <x v="0"/>
    <x v="11"/>
    <x v="41"/>
    <x v="2"/>
    <x v="1"/>
    <x v="7"/>
    <x v="104"/>
    <x v="55"/>
    <x v="66"/>
    <x v="79"/>
    <x v="94"/>
    <x v="33"/>
    <x v="37"/>
  </r>
  <r>
    <x v="1"/>
    <x v="10"/>
    <x v="5"/>
    <x v="145"/>
    <x v="141"/>
    <x v="55"/>
    <x v="1"/>
    <x v="22"/>
    <x v="63"/>
    <x v="0"/>
    <x v="1"/>
    <x v="6"/>
    <x v="148"/>
    <x v="66"/>
    <x v="56"/>
    <x v="101"/>
    <x v="119"/>
    <x v="47"/>
    <x v="78"/>
  </r>
  <r>
    <x v="2"/>
    <x v="2"/>
    <x v="55"/>
    <x v="98"/>
    <x v="119"/>
    <x v="148"/>
    <x v="0"/>
    <x v="9"/>
    <x v="32"/>
    <x v="2"/>
    <x v="1"/>
    <x v="11"/>
    <x v="74"/>
    <x v="48"/>
    <x v="17"/>
    <x v="25"/>
    <x v="55"/>
    <x v="23"/>
    <x v="26"/>
  </r>
  <r>
    <x v="2"/>
    <x v="3"/>
    <x v="27"/>
    <x v="116"/>
    <x v="126"/>
    <x v="142"/>
    <x v="0"/>
    <x v="11"/>
    <x v="38"/>
    <x v="2"/>
    <x v="1"/>
    <x v="9"/>
    <x v="96"/>
    <x v="48"/>
    <x v="18"/>
    <x v="25"/>
    <x v="57"/>
    <x v="23"/>
    <x v="70"/>
  </r>
  <r>
    <x v="2"/>
    <x v="5"/>
    <x v="49"/>
    <x v="124"/>
    <x v="138"/>
    <x v="151"/>
    <x v="0"/>
    <x v="11"/>
    <x v="38"/>
    <x v="2"/>
    <x v="1"/>
    <x v="10"/>
    <x v="102"/>
    <x v="62"/>
    <x v="36"/>
    <x v="65"/>
    <x v="84"/>
    <x v="33"/>
    <x v="12"/>
  </r>
  <r>
    <x v="3"/>
    <x v="34"/>
    <x v="132"/>
    <x v="65"/>
    <x v="42"/>
    <x v="22"/>
    <x v="1"/>
    <x v="14"/>
    <x v="34"/>
    <x v="2"/>
    <x v="1"/>
    <x v="10"/>
    <x v="73"/>
    <x v="56"/>
    <x v="50"/>
    <x v="89"/>
    <x v="72"/>
    <x v="29"/>
    <x v="54"/>
  </r>
  <r>
    <x v="3"/>
    <x v="118"/>
    <x v="91"/>
    <x v="84"/>
    <x v="59"/>
    <x v="10"/>
    <x v="1"/>
    <x v="19"/>
    <x v="55"/>
    <x v="2"/>
    <x v="1"/>
    <x v="8"/>
    <x v="127"/>
    <x v="56"/>
    <x v="50"/>
    <x v="94"/>
    <x v="92"/>
    <x v="29"/>
    <x v="42"/>
  </r>
  <r>
    <x v="3"/>
    <x v="106"/>
    <x v="75"/>
    <x v="114"/>
    <x v="106"/>
    <x v="58"/>
    <x v="1"/>
    <x v="19"/>
    <x v="44"/>
    <x v="2"/>
    <x v="1"/>
    <x v="9"/>
    <x v="109"/>
    <x v="69"/>
    <x v="60"/>
    <x v="117"/>
    <x v="107"/>
    <x v="33"/>
    <x v="83"/>
  </r>
  <r>
    <x v="3"/>
    <x v="83"/>
    <x v="127"/>
    <x v="101"/>
    <x v="54"/>
    <x v="0"/>
    <x v="1"/>
    <x v="19"/>
    <x v="44"/>
    <x v="2"/>
    <x v="1"/>
    <x v="10"/>
    <x v="103"/>
    <x v="65"/>
    <x v="54"/>
    <x v="103"/>
    <x v="98"/>
    <x v="29"/>
    <x v="31"/>
  </r>
  <r>
    <x v="4"/>
    <x v="50"/>
    <x v="110"/>
    <x v="127"/>
    <x v="115"/>
    <x v="21"/>
    <x v="1"/>
    <x v="24"/>
    <x v="59"/>
    <x v="2"/>
    <x v="1"/>
    <x v="7"/>
    <x v="141"/>
    <x v="74"/>
    <x v="59"/>
    <x v="118"/>
    <x v="127"/>
    <x v="33"/>
    <x v="76"/>
  </r>
  <r>
    <x v="4"/>
    <x v="131"/>
    <x v="44"/>
    <x v="136"/>
    <x v="124"/>
    <x v="38"/>
    <x v="1"/>
    <x v="24"/>
    <x v="59"/>
    <x v="2"/>
    <x v="1"/>
    <x v="7"/>
    <x v="142"/>
    <x v="65"/>
    <x v="62"/>
    <x v="107"/>
    <x v="114"/>
    <x v="33"/>
    <x v="16"/>
  </r>
  <r>
    <x v="4"/>
    <x v="56"/>
    <x v="19"/>
    <x v="126"/>
    <x v="120"/>
    <x v="64"/>
    <x v="1"/>
    <x v="24"/>
    <x v="59"/>
    <x v="2"/>
    <x v="1"/>
    <x v="7"/>
    <x v="140"/>
    <x v="51"/>
    <x v="63"/>
    <x v="104"/>
    <x v="110"/>
    <x v="34"/>
    <x v="59"/>
  </r>
  <r>
    <x v="4"/>
    <x v="31"/>
    <x v="31"/>
    <x v="108"/>
    <x v="93"/>
    <x v="28"/>
    <x v="1"/>
    <x v="13"/>
    <x v="41"/>
    <x v="2"/>
    <x v="1"/>
    <x v="7"/>
    <x v="99"/>
    <x v="49"/>
    <x v="31"/>
    <x v="91"/>
    <x v="106"/>
    <x v="31"/>
    <x v="47"/>
  </r>
  <r>
    <x v="4"/>
    <x v="58"/>
    <x v="41"/>
    <x v="138"/>
    <x v="132"/>
    <x v="79"/>
    <x v="1"/>
    <x v="29"/>
    <x v="58"/>
    <x v="2"/>
    <x v="0"/>
    <x v="0"/>
    <x v="138"/>
    <x v="77"/>
    <x v="71"/>
    <x v="108"/>
    <x v="146"/>
    <x v="53"/>
    <x v="88"/>
  </r>
  <r>
    <x v="5"/>
    <x v="32"/>
    <x v="142"/>
    <x v="12"/>
    <x v="14"/>
    <x v="84"/>
    <x v="0"/>
    <x v="6"/>
    <x v="7"/>
    <x v="2"/>
    <x v="1"/>
    <x v="12"/>
    <x v="8"/>
    <x v="32"/>
    <x v="14"/>
    <x v="42"/>
    <x v="19"/>
    <x v="10"/>
    <x v="38"/>
  </r>
  <r>
    <x v="5"/>
    <x v="91"/>
    <x v="140"/>
    <x v="26"/>
    <x v="30"/>
    <x v="80"/>
    <x v="1"/>
    <x v="14"/>
    <x v="32"/>
    <x v="2"/>
    <x v="1"/>
    <x v="10"/>
    <x v="56"/>
    <x v="46"/>
    <x v="24"/>
    <x v="73"/>
    <x v="44"/>
    <x v="13"/>
    <x v="81"/>
  </r>
  <r>
    <x v="5"/>
    <x v="87"/>
    <x v="67"/>
    <x v="43"/>
    <x v="23"/>
    <x v="13"/>
    <x v="1"/>
    <x v="14"/>
    <x v="34"/>
    <x v="2"/>
    <x v="1"/>
    <x v="10"/>
    <x v="65"/>
    <x v="50"/>
    <x v="48"/>
    <x v="106"/>
    <x v="68"/>
    <x v="23"/>
    <x v="19"/>
  </r>
  <r>
    <x v="5"/>
    <x v="96"/>
    <x v="97"/>
    <x v="47"/>
    <x v="36"/>
    <x v="31"/>
    <x v="1"/>
    <x v="17"/>
    <x v="35"/>
    <x v="2"/>
    <x v="1"/>
    <x v="12"/>
    <x v="76"/>
    <x v="60"/>
    <x v="50"/>
    <x v="100"/>
    <x v="70"/>
    <x v="26"/>
    <x v="63"/>
  </r>
  <r>
    <x v="5"/>
    <x v="26"/>
    <x v="70"/>
    <x v="80"/>
    <x v="46"/>
    <x v="8"/>
    <x v="1"/>
    <x v="19"/>
    <x v="41"/>
    <x v="2"/>
    <x v="1"/>
    <x v="10"/>
    <x v="93"/>
    <x v="20"/>
    <x v="57"/>
    <x v="84"/>
    <x v="87"/>
    <x v="24"/>
    <x v="52"/>
  </r>
  <r>
    <x v="5"/>
    <x v="44"/>
    <x v="51"/>
    <x v="143"/>
    <x v="139"/>
    <x v="65"/>
    <x v="1"/>
    <x v="29"/>
    <x v="64"/>
    <x v="0"/>
    <x v="1"/>
    <x v="7"/>
    <x v="152"/>
    <x v="34"/>
    <x v="55"/>
    <x v="37"/>
    <x v="60"/>
    <x v="35"/>
    <x v="93"/>
  </r>
  <r>
    <x v="5"/>
    <x v="110"/>
    <x v="81"/>
    <x v="14"/>
    <x v="12"/>
    <x v="68"/>
    <x v="1"/>
    <x v="3"/>
    <x v="9"/>
    <x v="2"/>
    <x v="1"/>
    <x v="18"/>
    <x v="15"/>
    <x v="9"/>
    <x v="4"/>
    <x v="17"/>
    <x v="6"/>
    <x v="7"/>
    <x v="43"/>
  </r>
  <r>
    <x v="5"/>
    <x v="93"/>
    <x v="60"/>
    <x v="0"/>
    <x v="0"/>
    <x v="18"/>
    <x v="1"/>
    <x v="0"/>
    <x v="0"/>
    <x v="1"/>
    <x v="1"/>
    <x v="19"/>
    <x v="0"/>
    <x v="1"/>
    <x v="0"/>
    <x v="0"/>
    <x v="0"/>
    <x v="0"/>
    <x v="86"/>
  </r>
  <r>
    <x v="5"/>
    <x v="77"/>
    <x v="135"/>
    <x v="43"/>
    <x v="37"/>
    <x v="42"/>
    <x v="1"/>
    <x v="17"/>
    <x v="35"/>
    <x v="2"/>
    <x v="1"/>
    <x v="12"/>
    <x v="75"/>
    <x v="60"/>
    <x v="51"/>
    <x v="103"/>
    <x v="76"/>
    <x v="26"/>
    <x v="24"/>
  </r>
  <r>
    <x v="6"/>
    <x v="129"/>
    <x v="20"/>
    <x v="51"/>
    <x v="41"/>
    <x v="51"/>
    <x v="1"/>
    <x v="9"/>
    <x v="29"/>
    <x v="2"/>
    <x v="1"/>
    <x v="9"/>
    <x v="52"/>
    <x v="31"/>
    <x v="27"/>
    <x v="76"/>
    <x v="35"/>
    <x v="19"/>
    <x v="67"/>
  </r>
  <r>
    <x v="6"/>
    <x v="128"/>
    <x v="84"/>
    <x v="82"/>
    <x v="66"/>
    <x v="25"/>
    <x v="1"/>
    <x v="9"/>
    <x v="31"/>
    <x v="2"/>
    <x v="1"/>
    <x v="9"/>
    <x v="62"/>
    <x v="41"/>
    <x v="22"/>
    <x v="83"/>
    <x v="69"/>
    <x v="20"/>
    <x v="57"/>
  </r>
  <r>
    <x v="6"/>
    <x v="40"/>
    <x v="80"/>
    <x v="67"/>
    <x v="58"/>
    <x v="49"/>
    <x v="1"/>
    <x v="10"/>
    <x v="41"/>
    <x v="2"/>
    <x v="1"/>
    <x v="11"/>
    <x v="87"/>
    <x v="66"/>
    <x v="58"/>
    <x v="121"/>
    <x v="82"/>
    <x v="26"/>
    <x v="98"/>
  </r>
  <r>
    <x v="6"/>
    <x v="36"/>
    <x v="82"/>
    <x v="25"/>
    <x v="44"/>
    <x v="118"/>
    <x v="0"/>
    <x v="5"/>
    <x v="14"/>
    <x v="2"/>
    <x v="1"/>
    <x v="12"/>
    <x v="26"/>
    <x v="51"/>
    <x v="37"/>
    <x v="59"/>
    <x v="30"/>
    <x v="20"/>
    <x v="48"/>
  </r>
  <r>
    <x v="6"/>
    <x v="84"/>
    <x v="37"/>
    <x v="102"/>
    <x v="87"/>
    <x v="41"/>
    <x v="1"/>
    <x v="18"/>
    <x v="57"/>
    <x v="2"/>
    <x v="1"/>
    <x v="8"/>
    <x v="130"/>
    <x v="66"/>
    <x v="58"/>
    <x v="119"/>
    <x v="95"/>
    <x v="26"/>
    <x v="91"/>
  </r>
  <r>
    <x v="6"/>
    <x v="1"/>
    <x v="78"/>
    <x v="105"/>
    <x v="95"/>
    <x v="57"/>
    <x v="1"/>
    <x v="18"/>
    <x v="57"/>
    <x v="2"/>
    <x v="1"/>
    <x v="8"/>
    <x v="132"/>
    <x v="66"/>
    <x v="58"/>
    <x v="99"/>
    <x v="96"/>
    <x v="26"/>
    <x v="74"/>
  </r>
  <r>
    <x v="7"/>
    <x v="103"/>
    <x v="121"/>
    <x v="9"/>
    <x v="3"/>
    <x v="44"/>
    <x v="1"/>
    <x v="5"/>
    <x v="14"/>
    <x v="2"/>
    <x v="1"/>
    <x v="14"/>
    <x v="24"/>
    <x v="36"/>
    <x v="58"/>
    <x v="18"/>
    <x v="13"/>
    <x v="4"/>
    <x v="61"/>
  </r>
  <r>
    <x v="7"/>
    <x v="17"/>
    <x v="13"/>
    <x v="45"/>
    <x v="43"/>
    <x v="71"/>
    <x v="1"/>
    <x v="9"/>
    <x v="29"/>
    <x v="2"/>
    <x v="1"/>
    <x v="9"/>
    <x v="51"/>
    <x v="31"/>
    <x v="21"/>
    <x v="72"/>
    <x v="26"/>
    <x v="19"/>
    <x v="103"/>
  </r>
  <r>
    <x v="7"/>
    <x v="139"/>
    <x v="118"/>
    <x v="54"/>
    <x v="21"/>
    <x v="3"/>
    <x v="1"/>
    <x v="9"/>
    <x v="31"/>
    <x v="2"/>
    <x v="1"/>
    <x v="9"/>
    <x v="60"/>
    <x v="51"/>
    <x v="37"/>
    <x v="59"/>
    <x v="46"/>
    <x v="20"/>
    <x v="53"/>
  </r>
  <r>
    <x v="7"/>
    <x v="79"/>
    <x v="130"/>
    <x v="70"/>
    <x v="40"/>
    <x v="11"/>
    <x v="1"/>
    <x v="10"/>
    <x v="43"/>
    <x v="2"/>
    <x v="1"/>
    <x v="7"/>
    <x v="92"/>
    <x v="66"/>
    <x v="60"/>
    <x v="113"/>
    <x v="85"/>
    <x v="26"/>
    <x v="96"/>
  </r>
  <r>
    <x v="7"/>
    <x v="149"/>
    <x v="1"/>
    <x v="147"/>
    <x v="147"/>
    <x v="134"/>
    <x v="0"/>
    <x v="30"/>
    <x v="65"/>
    <x v="0"/>
    <x v="1"/>
    <x v="1"/>
    <x v="153"/>
    <x v="7"/>
    <x v="65"/>
    <x v="27"/>
    <x v="74"/>
    <x v="34"/>
    <x v="36"/>
  </r>
  <r>
    <x v="7"/>
    <x v="113"/>
    <x v="149"/>
    <x v="48"/>
    <x v="73"/>
    <x v="119"/>
    <x v="0"/>
    <x v="27"/>
    <x v="53"/>
    <x v="2"/>
    <x v="0"/>
    <x v="2"/>
    <x v="116"/>
    <x v="87"/>
    <x v="76"/>
    <x v="125"/>
    <x v="140"/>
    <x v="52"/>
    <x v="80"/>
  </r>
  <r>
    <x v="7"/>
    <x v="115"/>
    <x v="45"/>
    <x v="58"/>
    <x v="80"/>
    <x v="101"/>
    <x v="0"/>
    <x v="20"/>
    <x v="34"/>
    <x v="2"/>
    <x v="0"/>
    <x v="0"/>
    <x v="70"/>
    <x v="57"/>
    <x v="74"/>
    <x v="81"/>
    <x v="135"/>
    <x v="54"/>
    <x v="65"/>
  </r>
  <r>
    <x v="7"/>
    <x v="114"/>
    <x v="79"/>
    <x v="40"/>
    <x v="55"/>
    <x v="99"/>
    <x v="0"/>
    <x v="20"/>
    <x v="34"/>
    <x v="2"/>
    <x v="0"/>
    <x v="1"/>
    <x v="66"/>
    <x v="84"/>
    <x v="74"/>
    <x v="120"/>
    <x v="137"/>
    <x v="54"/>
    <x v="107"/>
  </r>
  <r>
    <x v="7"/>
    <x v="49"/>
    <x v="136"/>
    <x v="31"/>
    <x v="32"/>
    <x v="76"/>
    <x v="1"/>
    <x v="9"/>
    <x v="9"/>
    <x v="2"/>
    <x v="0"/>
    <x v="4"/>
    <x v="18"/>
    <x v="85"/>
    <x v="40"/>
    <x v="123"/>
    <x v="93"/>
    <x v="44"/>
    <x v="58"/>
  </r>
  <r>
    <x v="7"/>
    <x v="52"/>
    <x v="134"/>
    <x v="93"/>
    <x v="112"/>
    <x v="126"/>
    <x v="0"/>
    <x v="27"/>
    <x v="53"/>
    <x v="2"/>
    <x v="0"/>
    <x v="2"/>
    <x v="122"/>
    <x v="75"/>
    <x v="42"/>
    <x v="86"/>
    <x v="139"/>
    <x v="49"/>
    <x v="101"/>
  </r>
  <r>
    <x v="7"/>
    <x v="28"/>
    <x v="146"/>
    <x v="49"/>
    <x v="39"/>
    <x v="45"/>
    <x v="1"/>
    <x v="8"/>
    <x v="23"/>
    <x v="2"/>
    <x v="0"/>
    <x v="9"/>
    <x v="41"/>
    <x v="67"/>
    <x v="70"/>
    <x v="61"/>
    <x v="91"/>
    <x v="39"/>
    <x v="41"/>
  </r>
  <r>
    <x v="8"/>
    <x v="59"/>
    <x v="117"/>
    <x v="6"/>
    <x v="2"/>
    <x v="46"/>
    <x v="1"/>
    <x v="5"/>
    <x v="5"/>
    <x v="2"/>
    <x v="1"/>
    <x v="15"/>
    <x v="6"/>
    <x v="12"/>
    <x v="6"/>
    <x v="20"/>
    <x v="10"/>
    <x v="5"/>
    <x v="85"/>
  </r>
  <r>
    <x v="8"/>
    <x v="100"/>
    <x v="137"/>
    <x v="61"/>
    <x v="45"/>
    <x v="29"/>
    <x v="1"/>
    <x v="19"/>
    <x v="37"/>
    <x v="2"/>
    <x v="1"/>
    <x v="9"/>
    <x v="82"/>
    <x v="22"/>
    <x v="52"/>
    <x v="48"/>
    <x v="58"/>
    <x v="17"/>
    <x v="71"/>
  </r>
  <r>
    <x v="8"/>
    <x v="42"/>
    <x v="87"/>
    <x v="32"/>
    <x v="10"/>
    <x v="4"/>
    <x v="1"/>
    <x v="9"/>
    <x v="32"/>
    <x v="2"/>
    <x v="1"/>
    <x v="10"/>
    <x v="57"/>
    <x v="44"/>
    <x v="21"/>
    <x v="52"/>
    <x v="22"/>
    <x v="13"/>
    <x v="110"/>
  </r>
  <r>
    <x v="8"/>
    <x v="143"/>
    <x v="151"/>
    <x v="36"/>
    <x v="20"/>
    <x v="20"/>
    <x v="1"/>
    <x v="13"/>
    <x v="26"/>
    <x v="2"/>
    <x v="1"/>
    <x v="9"/>
    <x v="48"/>
    <x v="54"/>
    <x v="51"/>
    <x v="98"/>
    <x v="72"/>
    <x v="20"/>
    <x v="62"/>
  </r>
  <r>
    <x v="8"/>
    <x v="64"/>
    <x v="145"/>
    <x v="7"/>
    <x v="8"/>
    <x v="92"/>
    <x v="0"/>
    <x v="5"/>
    <x v="4"/>
    <x v="2"/>
    <x v="1"/>
    <x v="15"/>
    <x v="5"/>
    <x v="26"/>
    <x v="5"/>
    <x v="21"/>
    <x v="12"/>
    <x v="7"/>
    <x v="105"/>
  </r>
  <r>
    <x v="8"/>
    <x v="47"/>
    <x v="109"/>
    <x v="66"/>
    <x v="67"/>
    <x v="62"/>
    <x v="1"/>
    <x v="24"/>
    <x v="41"/>
    <x v="2"/>
    <x v="1"/>
    <x v="6"/>
    <x v="89"/>
    <x v="73"/>
    <x v="72"/>
    <x v="122"/>
    <x v="120"/>
    <x v="34"/>
    <x v="46"/>
  </r>
  <r>
    <x v="8"/>
    <x v="61"/>
    <x v="153"/>
    <x v="113"/>
    <x v="83"/>
    <x v="5"/>
    <x v="1"/>
    <x v="21"/>
    <x v="45"/>
    <x v="2"/>
    <x v="0"/>
    <x v="4"/>
    <x v="113"/>
    <x v="64"/>
    <x v="30"/>
    <x v="75"/>
    <x v="115"/>
    <x v="42"/>
    <x v="90"/>
  </r>
  <r>
    <x v="8"/>
    <x v="151"/>
    <x v="143"/>
    <x v="59"/>
    <x v="48"/>
    <x v="47"/>
    <x v="1"/>
    <x v="13"/>
    <x v="23"/>
    <x v="2"/>
    <x v="0"/>
    <x v="6"/>
    <x v="44"/>
    <x v="82"/>
    <x v="69"/>
    <x v="106"/>
    <x v="105"/>
    <x v="52"/>
    <x v="77"/>
  </r>
  <r>
    <x v="8"/>
    <x v="60"/>
    <x v="138"/>
    <x v="121"/>
    <x v="118"/>
    <x v="67"/>
    <x v="1"/>
    <x v="24"/>
    <x v="55"/>
    <x v="2"/>
    <x v="0"/>
    <x v="1"/>
    <x v="129"/>
    <x v="80"/>
    <x v="73"/>
    <x v="114"/>
    <x v="142"/>
    <x v="52"/>
    <x v="113"/>
  </r>
  <r>
    <x v="8"/>
    <x v="116"/>
    <x v="148"/>
    <x v="5"/>
    <x v="5"/>
    <x v="66"/>
    <x v="1"/>
    <x v="9"/>
    <x v="8"/>
    <x v="2"/>
    <x v="0"/>
    <x v="8"/>
    <x v="11"/>
    <x v="77"/>
    <x v="24"/>
    <x v="105"/>
    <x v="50"/>
    <x v="39"/>
    <x v="66"/>
  </r>
  <r>
    <x v="8"/>
    <x v="62"/>
    <x v="154"/>
    <x v="97"/>
    <x v="74"/>
    <x v="19"/>
    <x v="1"/>
    <x v="24"/>
    <x v="48"/>
    <x v="2"/>
    <x v="0"/>
    <x v="3"/>
    <x v="114"/>
    <x v="86"/>
    <x v="75"/>
    <x v="126"/>
    <x v="134"/>
    <x v="50"/>
    <x v="109"/>
  </r>
  <r>
    <x v="9"/>
    <x v="37"/>
    <x v="147"/>
    <x v="10"/>
    <x v="17"/>
    <x v="115"/>
    <x v="0"/>
    <x v="2"/>
    <x v="3"/>
    <x v="2"/>
    <x v="1"/>
    <x v="17"/>
    <x v="4"/>
    <x v="28"/>
    <x v="7"/>
    <x v="22"/>
    <x v="4"/>
    <x v="1"/>
    <x v="51"/>
  </r>
  <r>
    <x v="9"/>
    <x v="12"/>
    <x v="150"/>
    <x v="21"/>
    <x v="49"/>
    <x v="143"/>
    <x v="0"/>
    <x v="7"/>
    <x v="16"/>
    <x v="2"/>
    <x v="1"/>
    <x v="12"/>
    <x v="27"/>
    <x v="45"/>
    <x v="31"/>
    <x v="67"/>
    <x v="31"/>
    <x v="27"/>
    <x v="95"/>
  </r>
  <r>
    <x v="9"/>
    <x v="46"/>
    <x v="119"/>
    <x v="56"/>
    <x v="89"/>
    <x v="145"/>
    <x v="0"/>
    <x v="5"/>
    <x v="21"/>
    <x v="2"/>
    <x v="0"/>
    <x v="9"/>
    <x v="37"/>
    <x v="28"/>
    <x v="19"/>
    <x v="32"/>
    <x v="63"/>
    <x v="16"/>
    <x v="82"/>
  </r>
  <r>
    <x v="9"/>
    <x v="108"/>
    <x v="36"/>
    <x v="95"/>
    <x v="88"/>
    <x v="73"/>
    <x v="1"/>
    <x v="15"/>
    <x v="44"/>
    <x v="2"/>
    <x v="0"/>
    <x v="4"/>
    <x v="100"/>
    <x v="43"/>
    <x v="32"/>
    <x v="34"/>
    <x v="112"/>
    <x v="43"/>
    <x v="116"/>
  </r>
  <r>
    <x v="9"/>
    <x v="104"/>
    <x v="120"/>
    <x v="90"/>
    <x v="101"/>
    <x v="109"/>
    <x v="0"/>
    <x v="18"/>
    <x v="45"/>
    <x v="2"/>
    <x v="0"/>
    <x v="8"/>
    <x v="107"/>
    <x v="79"/>
    <x v="64"/>
    <x v="108"/>
    <x v="136"/>
    <x v="39"/>
    <x v="73"/>
  </r>
  <r>
    <x v="10"/>
    <x v="11"/>
    <x v="94"/>
    <x v="1"/>
    <x v="1"/>
    <x v="36"/>
    <x v="1"/>
    <x v="1"/>
    <x v="1"/>
    <x v="1"/>
    <x v="1"/>
    <x v="16"/>
    <x v="1"/>
    <x v="6"/>
    <x v="1"/>
    <x v="9"/>
    <x v="1"/>
    <x v="1"/>
    <x v="112"/>
  </r>
  <r>
    <x v="10"/>
    <x v="55"/>
    <x v="114"/>
    <x v="4"/>
    <x v="4"/>
    <x v="77"/>
    <x v="1"/>
    <x v="5"/>
    <x v="18"/>
    <x v="2"/>
    <x v="1"/>
    <x v="12"/>
    <x v="29"/>
    <x v="17"/>
    <x v="5"/>
    <x v="16"/>
    <x v="16"/>
    <x v="11"/>
    <x v="56"/>
  </r>
  <r>
    <x v="10"/>
    <x v="138"/>
    <x v="77"/>
    <x v="19"/>
    <x v="11"/>
    <x v="30"/>
    <x v="1"/>
    <x v="8"/>
    <x v="22"/>
    <x v="2"/>
    <x v="1"/>
    <x v="10"/>
    <x v="36"/>
    <x v="42"/>
    <x v="41"/>
    <x v="55"/>
    <x v="47"/>
    <x v="28"/>
    <x v="99"/>
  </r>
  <r>
    <x v="11"/>
    <x v="76"/>
    <x v="62"/>
    <x v="107"/>
    <x v="102"/>
    <x v="78"/>
    <x v="1"/>
    <x v="13"/>
    <x v="52"/>
    <x v="2"/>
    <x v="1"/>
    <x v="10"/>
    <x v="121"/>
    <x v="53"/>
    <x v="30"/>
    <x v="87"/>
    <x v="71"/>
    <x v="33"/>
    <x v="87"/>
  </r>
  <r>
    <x v="12"/>
    <x v="122"/>
    <x v="43"/>
    <x v="133"/>
    <x v="135"/>
    <x v="120"/>
    <x v="0"/>
    <x v="13"/>
    <x v="55"/>
    <x v="2"/>
    <x v="1"/>
    <x v="6"/>
    <x v="133"/>
    <x v="71"/>
    <x v="41"/>
    <x v="77"/>
    <x v="102"/>
    <x v="32"/>
    <x v="119"/>
  </r>
  <r>
    <x v="13"/>
    <x v="152"/>
    <x v="107"/>
    <x v="17"/>
    <x v="56"/>
    <x v="152"/>
    <x v="0"/>
    <x v="9"/>
    <x v="9"/>
    <x v="2"/>
    <x v="0"/>
    <x v="2"/>
    <x v="16"/>
    <x v="2"/>
    <x v="4"/>
    <x v="1"/>
    <x v="43"/>
    <x v="34"/>
    <x v="79"/>
  </r>
  <r>
    <x v="13"/>
    <x v="35"/>
    <x v="124"/>
    <x v="63"/>
    <x v="61"/>
    <x v="59"/>
    <x v="1"/>
    <x v="21"/>
    <x v="37"/>
    <x v="2"/>
    <x v="0"/>
    <x v="5"/>
    <x v="83"/>
    <x v="23"/>
    <x v="24"/>
    <x v="10"/>
    <x v="56"/>
    <x v="39"/>
    <x v="115"/>
  </r>
  <r>
    <x v="13"/>
    <x v="70"/>
    <x v="144"/>
    <x v="96"/>
    <x v="97"/>
    <x v="86"/>
    <x v="0"/>
    <x v="21"/>
    <x v="40"/>
    <x v="2"/>
    <x v="0"/>
    <x v="4"/>
    <x v="88"/>
    <x v="40"/>
    <x v="46"/>
    <x v="44"/>
    <x v="116"/>
    <x v="40"/>
    <x v="60"/>
  </r>
  <r>
    <x v="14"/>
    <x v="57"/>
    <x v="63"/>
    <x v="109"/>
    <x v="123"/>
    <x v="141"/>
    <x v="0"/>
    <x v="13"/>
    <x v="45"/>
    <x v="2"/>
    <x v="1"/>
    <x v="8"/>
    <x v="112"/>
    <x v="37"/>
    <x v="33"/>
    <x v="72"/>
    <x v="73"/>
    <x v="33"/>
    <x v="104"/>
  </r>
  <r>
    <x v="14"/>
    <x v="73"/>
    <x v="35"/>
    <x v="123"/>
    <x v="133"/>
    <x v="139"/>
    <x v="0"/>
    <x v="13"/>
    <x v="51"/>
    <x v="2"/>
    <x v="1"/>
    <x v="8"/>
    <x v="126"/>
    <x v="59"/>
    <x v="36"/>
    <x v="68"/>
    <x v="101"/>
    <x v="38"/>
    <x v="92"/>
  </r>
  <r>
    <x v="14"/>
    <x v="74"/>
    <x v="10"/>
    <x v="139"/>
    <x v="140"/>
    <x v="136"/>
    <x v="0"/>
    <x v="21"/>
    <x v="61"/>
    <x v="0"/>
    <x v="1"/>
    <x v="6"/>
    <x v="145"/>
    <x v="59"/>
    <x v="36"/>
    <x v="68"/>
    <x v="103"/>
    <x v="38"/>
    <x v="123"/>
  </r>
  <r>
    <x v="14"/>
    <x v="86"/>
    <x v="18"/>
    <x v="142"/>
    <x v="142"/>
    <x v="108"/>
    <x v="0"/>
    <x v="21"/>
    <x v="60"/>
    <x v="2"/>
    <x v="1"/>
    <x v="7"/>
    <x v="144"/>
    <x v="65"/>
    <x v="43"/>
    <x v="97"/>
    <x v="117"/>
    <x v="45"/>
    <x v="84"/>
  </r>
  <r>
    <x v="14"/>
    <x v="89"/>
    <x v="25"/>
    <x v="144"/>
    <x v="145"/>
    <x v="102"/>
    <x v="0"/>
    <x v="25"/>
    <x v="53"/>
    <x v="2"/>
    <x v="0"/>
    <x v="0"/>
    <x v="136"/>
    <x v="65"/>
    <x v="68"/>
    <x v="80"/>
    <x v="145"/>
    <x v="51"/>
    <x v="118"/>
  </r>
  <r>
    <x v="14"/>
    <x v="120"/>
    <x v="104"/>
    <x v="118"/>
    <x v="128"/>
    <x v="137"/>
    <x v="0"/>
    <x v="13"/>
    <x v="48"/>
    <x v="2"/>
    <x v="0"/>
    <x v="6"/>
    <x v="120"/>
    <x v="26"/>
    <x v="40"/>
    <x v="39"/>
    <x v="118"/>
    <x v="28"/>
    <x v="64"/>
  </r>
  <r>
    <x v="15"/>
    <x v="41"/>
    <x v="38"/>
    <x v="125"/>
    <x v="109"/>
    <x v="7"/>
    <x v="1"/>
    <x v="24"/>
    <x v="59"/>
    <x v="2"/>
    <x v="1"/>
    <x v="7"/>
    <x v="139"/>
    <x v="56"/>
    <x v="55"/>
    <x v="120"/>
    <x v="113"/>
    <x v="39"/>
    <x v="108"/>
  </r>
  <r>
    <x v="15"/>
    <x v="145"/>
    <x v="100"/>
    <x v="135"/>
    <x v="113"/>
    <x v="2"/>
    <x v="1"/>
    <x v="24"/>
    <x v="46"/>
    <x v="2"/>
    <x v="1"/>
    <x v="6"/>
    <x v="125"/>
    <x v="78"/>
    <x v="72"/>
    <x v="124"/>
    <x v="131"/>
    <x v="34"/>
    <x v="97"/>
  </r>
  <r>
    <x v="15"/>
    <x v="102"/>
    <x v="61"/>
    <x v="132"/>
    <x v="110"/>
    <x v="1"/>
    <x v="1"/>
    <x v="28"/>
    <x v="61"/>
    <x v="0"/>
    <x v="0"/>
    <x v="0"/>
    <x v="143"/>
    <x v="80"/>
    <x v="77"/>
    <x v="115"/>
    <x v="144"/>
    <x v="53"/>
    <x v="127"/>
  </r>
  <r>
    <x v="18"/>
    <x v="94"/>
    <x v="69"/>
    <x v="15"/>
    <x v="6"/>
    <x v="32"/>
    <x v="1"/>
    <x v="3"/>
    <x v="6"/>
    <x v="2"/>
    <x v="1"/>
    <x v="15"/>
    <x v="7"/>
    <x v="12"/>
    <x v="3"/>
    <x v="15"/>
    <x v="2"/>
    <x v="7"/>
    <x v="89"/>
  </r>
  <r>
    <x v="18"/>
    <x v="54"/>
    <x v="95"/>
    <x v="46"/>
    <x v="24"/>
    <x v="12"/>
    <x v="1"/>
    <x v="8"/>
    <x v="25"/>
    <x v="2"/>
    <x v="1"/>
    <x v="9"/>
    <x v="47"/>
    <x v="19"/>
    <x v="19"/>
    <x v="24"/>
    <x v="29"/>
    <x v="19"/>
    <x v="121"/>
  </r>
  <r>
    <x v="18"/>
    <x v="67"/>
    <x v="108"/>
    <x v="33"/>
    <x v="26"/>
    <x v="40"/>
    <x v="1"/>
    <x v="8"/>
    <x v="20"/>
    <x v="2"/>
    <x v="1"/>
    <x v="10"/>
    <x v="35"/>
    <x v="31"/>
    <x v="18"/>
    <x v="64"/>
    <x v="33"/>
    <x v="21"/>
    <x v="70"/>
  </r>
  <r>
    <x v="18"/>
    <x v="51"/>
    <x v="17"/>
    <x v="83"/>
    <x v="82"/>
    <x v="75"/>
    <x v="1"/>
    <x v="18"/>
    <x v="45"/>
    <x v="2"/>
    <x v="1"/>
    <x v="7"/>
    <x v="105"/>
    <x v="47"/>
    <x v="31"/>
    <x v="88"/>
    <x v="81"/>
    <x v="34"/>
    <x v="111"/>
  </r>
  <r>
    <x v="18"/>
    <x v="0"/>
    <x v="0"/>
    <x v="87"/>
    <x v="111"/>
    <x v="128"/>
    <x v="0"/>
    <x v="13"/>
    <x v="28"/>
    <x v="2"/>
    <x v="1"/>
    <x v="6"/>
    <x v="58"/>
    <x v="10"/>
    <x v="47"/>
    <x v="40"/>
    <x v="54"/>
    <x v="38"/>
    <x v="102"/>
  </r>
  <r>
    <x v="18"/>
    <x v="97"/>
    <x v="32"/>
    <x v="112"/>
    <x v="99"/>
    <x v="34"/>
    <x v="1"/>
    <x v="18"/>
    <x v="41"/>
    <x v="2"/>
    <x v="0"/>
    <x v="3"/>
    <x v="101"/>
    <x v="48"/>
    <x v="28"/>
    <x v="62"/>
    <x v="141"/>
    <x v="48"/>
    <x v="68"/>
  </r>
  <r>
    <x v="18"/>
    <x v="98"/>
    <x v="90"/>
    <x v="72"/>
    <x v="63"/>
    <x v="48"/>
    <x v="1"/>
    <x v="13"/>
    <x v="33"/>
    <x v="2"/>
    <x v="0"/>
    <x v="5"/>
    <x v="69"/>
    <x v="48"/>
    <x v="4"/>
    <x v="35"/>
    <x v="88"/>
    <x v="37"/>
    <x v="94"/>
  </r>
  <r>
    <x v="17"/>
    <x v="101"/>
    <x v="39"/>
    <x v="24"/>
    <x v="9"/>
    <x v="9"/>
    <x v="1"/>
    <x v="5"/>
    <x v="11"/>
    <x v="2"/>
    <x v="1"/>
    <x v="13"/>
    <x v="21"/>
    <x v="44"/>
    <x v="21"/>
    <x v="53"/>
    <x v="22"/>
    <x v="13"/>
    <x v="125"/>
  </r>
  <r>
    <x v="17"/>
    <x v="45"/>
    <x v="71"/>
    <x v="27"/>
    <x v="64"/>
    <x v="135"/>
    <x v="0"/>
    <x v="5"/>
    <x v="11"/>
    <x v="2"/>
    <x v="1"/>
    <x v="15"/>
    <x v="22"/>
    <x v="43"/>
    <x v="26"/>
    <x v="54"/>
    <x v="27"/>
    <x v="20"/>
    <x v="76"/>
  </r>
  <r>
    <x v="17"/>
    <x v="126"/>
    <x v="115"/>
    <x v="44"/>
    <x v="29"/>
    <x v="26"/>
    <x v="1"/>
    <x v="13"/>
    <x v="24"/>
    <x v="2"/>
    <x v="1"/>
    <x v="9"/>
    <x v="45"/>
    <x v="54"/>
    <x v="51"/>
    <x v="102"/>
    <x v="75"/>
    <x v="20"/>
    <x v="114"/>
  </r>
  <r>
    <x v="17"/>
    <x v="71"/>
    <x v="126"/>
    <x v="73"/>
    <x v="72"/>
    <x v="70"/>
    <x v="1"/>
    <x v="24"/>
    <x v="41"/>
    <x v="2"/>
    <x v="1"/>
    <x v="6"/>
    <x v="91"/>
    <x v="73"/>
    <x v="72"/>
    <x v="122"/>
    <x v="125"/>
    <x v="34"/>
    <x v="106"/>
  </r>
  <r>
    <x v="17"/>
    <x v="99"/>
    <x v="74"/>
    <x v="100"/>
    <x v="108"/>
    <x v="106"/>
    <x v="0"/>
    <x v="21"/>
    <x v="45"/>
    <x v="2"/>
    <x v="0"/>
    <x v="3"/>
    <x v="110"/>
    <x v="64"/>
    <x v="30"/>
    <x v="71"/>
    <x v="115"/>
    <x v="42"/>
    <x v="0"/>
  </r>
  <r>
    <x v="17"/>
    <x v="148"/>
    <x v="58"/>
    <x v="71"/>
    <x v="70"/>
    <x v="69"/>
    <x v="1"/>
    <x v="16"/>
    <x v="32"/>
    <x v="2"/>
    <x v="0"/>
    <x v="6"/>
    <x v="63"/>
    <x v="65"/>
    <x v="61"/>
    <x v="90"/>
    <x v="122"/>
    <x v="39"/>
    <x v="1"/>
  </r>
  <r>
    <x v="16"/>
    <x v="23"/>
    <x v="52"/>
    <x v="111"/>
    <x v="121"/>
    <x v="127"/>
    <x v="0"/>
    <x v="7"/>
    <x v="36"/>
    <x v="2"/>
    <x v="1"/>
    <x v="11"/>
    <x v="85"/>
    <x v="40"/>
    <x v="12"/>
    <x v="30"/>
    <x v="64"/>
    <x v="22"/>
    <x v="14"/>
  </r>
  <r>
    <x v="16"/>
    <x v="53"/>
    <x v="73"/>
    <x v="140"/>
    <x v="144"/>
    <x v="131"/>
    <x v="0"/>
    <x v="15"/>
    <x v="49"/>
    <x v="2"/>
    <x v="1"/>
    <x v="10"/>
    <x v="128"/>
    <x v="63"/>
    <x v="35"/>
    <x v="69"/>
    <x v="109"/>
    <x v="43"/>
    <x v="30"/>
  </r>
  <r>
    <x v="16"/>
    <x v="121"/>
    <x v="46"/>
    <x v="146"/>
    <x v="146"/>
    <x v="98"/>
    <x v="0"/>
    <x v="23"/>
    <x v="59"/>
    <x v="2"/>
    <x v="1"/>
    <x v="6"/>
    <x v="146"/>
    <x v="83"/>
    <x v="52"/>
    <x v="112"/>
    <x v="133"/>
    <x v="46"/>
    <x v="23"/>
  </r>
  <r>
    <x v="16"/>
    <x v="135"/>
    <x v="9"/>
    <x v="150"/>
    <x v="148"/>
    <x v="96"/>
    <x v="0"/>
    <x v="26"/>
    <x v="62"/>
    <x v="0"/>
    <x v="1"/>
    <x v="5"/>
    <x v="150"/>
    <x v="14"/>
    <x v="38"/>
    <x v="29"/>
    <x v="132"/>
    <x v="43"/>
    <x v="10"/>
  </r>
  <r>
    <x v="16"/>
    <x v="136"/>
    <x v="21"/>
    <x v="124"/>
    <x v="134"/>
    <x v="132"/>
    <x v="0"/>
    <x v="7"/>
    <x v="37"/>
    <x v="2"/>
    <x v="1"/>
    <x v="11"/>
    <x v="98"/>
    <x v="3"/>
    <x v="10"/>
    <x v="3"/>
    <x v="45"/>
    <x v="19"/>
    <x v="3"/>
  </r>
  <r>
    <x v="16"/>
    <x v="137"/>
    <x v="6"/>
    <x v="128"/>
    <x v="125"/>
    <x v="85"/>
    <x v="0"/>
    <x v="7"/>
    <x v="36"/>
    <x v="2"/>
    <x v="1"/>
    <x v="12"/>
    <x v="95"/>
    <x v="3"/>
    <x v="10"/>
    <x v="2"/>
    <x v="36"/>
    <x v="9"/>
    <x v="35"/>
  </r>
  <r>
    <x v="16"/>
    <x v="39"/>
    <x v="33"/>
    <x v="130"/>
    <x v="129"/>
    <x v="89"/>
    <x v="0"/>
    <x v="15"/>
    <x v="46"/>
    <x v="2"/>
    <x v="1"/>
    <x v="11"/>
    <x v="123"/>
    <x v="40"/>
    <x v="13"/>
    <x v="40"/>
    <x v="61"/>
    <x v="22"/>
    <x v="28"/>
  </r>
  <r>
    <x v="16"/>
    <x v="38"/>
    <x v="2"/>
    <x v="151"/>
    <x v="150"/>
    <x v="107"/>
    <x v="0"/>
    <x v="26"/>
    <x v="62"/>
    <x v="0"/>
    <x v="1"/>
    <x v="5"/>
    <x v="151"/>
    <x v="68"/>
    <x v="52"/>
    <x v="96"/>
    <x v="130"/>
    <x v="46"/>
    <x v="13"/>
  </r>
  <r>
    <x v="16"/>
    <x v="90"/>
    <x v="76"/>
    <x v="119"/>
    <x v="127"/>
    <x v="125"/>
    <x v="0"/>
    <x v="15"/>
    <x v="46"/>
    <x v="2"/>
    <x v="0"/>
    <x v="5"/>
    <x v="117"/>
    <x v="61"/>
    <x v="45"/>
    <x v="41"/>
    <x v="138"/>
    <x v="34"/>
    <x v="5"/>
  </r>
  <r>
    <x v="19"/>
    <x v="130"/>
    <x v="98"/>
    <x v="13"/>
    <x v="7"/>
    <x v="53"/>
    <x v="1"/>
    <x v="3"/>
    <x v="12"/>
    <x v="2"/>
    <x v="1"/>
    <x v="15"/>
    <x v="20"/>
    <x v="16"/>
    <x v="8"/>
    <x v="31"/>
    <x v="15"/>
    <x v="7"/>
    <x v="40"/>
  </r>
  <r>
    <x v="19"/>
    <x v="14"/>
    <x v="131"/>
    <x v="55"/>
    <x v="33"/>
    <x v="15"/>
    <x v="1"/>
    <x v="8"/>
    <x v="26"/>
    <x v="2"/>
    <x v="1"/>
    <x v="10"/>
    <x v="50"/>
    <x v="27"/>
    <x v="21"/>
    <x v="50"/>
    <x v="39"/>
    <x v="19"/>
    <x v="33"/>
  </r>
  <r>
    <x v="19"/>
    <x v="92"/>
    <x v="122"/>
    <x v="92"/>
    <x v="75"/>
    <x v="24"/>
    <x v="1"/>
    <x v="13"/>
    <x v="50"/>
    <x v="2"/>
    <x v="1"/>
    <x v="10"/>
    <x v="115"/>
    <x v="53"/>
    <x v="31"/>
    <x v="74"/>
    <x v="67"/>
    <x v="33"/>
    <x v="17"/>
  </r>
  <r>
    <x v="19"/>
    <x v="112"/>
    <x v="72"/>
    <x v="94"/>
    <x v="78"/>
    <x v="27"/>
    <x v="1"/>
    <x v="16"/>
    <x v="32"/>
    <x v="2"/>
    <x v="0"/>
    <x v="6"/>
    <x v="72"/>
    <x v="65"/>
    <x v="61"/>
    <x v="91"/>
    <x v="128"/>
    <x v="39"/>
    <x v="7"/>
  </r>
  <r>
    <x v="19"/>
    <x v="109"/>
    <x v="96"/>
    <x v="106"/>
    <x v="91"/>
    <x v="37"/>
    <x v="1"/>
    <x v="16"/>
    <x v="32"/>
    <x v="2"/>
    <x v="0"/>
    <x v="4"/>
    <x v="77"/>
    <x v="42"/>
    <x v="42"/>
    <x v="47"/>
    <x v="123"/>
    <x v="42"/>
    <x v="45"/>
  </r>
  <r>
    <x v="19"/>
    <x v="153"/>
    <x v="106"/>
    <x v="75"/>
    <x v="47"/>
    <x v="23"/>
    <x v="1"/>
    <x v="16"/>
    <x v="32"/>
    <x v="2"/>
    <x v="0"/>
    <x v="3"/>
    <x v="64"/>
    <x v="33"/>
    <x v="32"/>
    <x v="33"/>
    <x v="108"/>
    <x v="36"/>
    <x v="4"/>
  </r>
  <r>
    <x v="19"/>
    <x v="66"/>
    <x v="112"/>
    <x v="37"/>
    <x v="27"/>
    <x v="33"/>
    <x v="1"/>
    <x v="16"/>
    <x v="32"/>
    <x v="2"/>
    <x v="0"/>
    <x v="3"/>
    <x v="61"/>
    <x v="76"/>
    <x v="3"/>
    <x v="93"/>
    <x v="62"/>
    <x v="36"/>
    <x v="39"/>
  </r>
  <r>
    <x v="20"/>
    <x v="48"/>
    <x v="3"/>
    <x v="38"/>
    <x v="31"/>
    <x v="50"/>
    <x v="1"/>
    <x v="14"/>
    <x v="23"/>
    <x v="2"/>
    <x v="1"/>
    <x v="10"/>
    <x v="39"/>
    <x v="46"/>
    <x v="24"/>
    <x v="79"/>
    <x v="52"/>
    <x v="15"/>
    <x v="20"/>
  </r>
  <r>
    <x v="20"/>
    <x v="80"/>
    <x v="89"/>
    <x v="79"/>
    <x v="86"/>
    <x v="95"/>
    <x v="0"/>
    <x v="18"/>
    <x v="46"/>
    <x v="2"/>
    <x v="1"/>
    <x v="8"/>
    <x v="111"/>
    <x v="56"/>
    <x v="55"/>
    <x v="92"/>
    <x v="83"/>
    <x v="31"/>
    <x v="11"/>
  </r>
  <r>
    <x v="20"/>
    <x v="13"/>
    <x v="123"/>
    <x v="39"/>
    <x v="35"/>
    <x v="54"/>
    <x v="1"/>
    <x v="8"/>
    <x v="23"/>
    <x v="2"/>
    <x v="1"/>
    <x v="12"/>
    <x v="38"/>
    <x v="46"/>
    <x v="29"/>
    <x v="63"/>
    <x v="34"/>
    <x v="13"/>
    <x v="1"/>
  </r>
  <r>
    <x v="20"/>
    <x v="15"/>
    <x v="40"/>
    <x v="122"/>
    <x v="104"/>
    <x v="14"/>
    <x v="1"/>
    <x v="21"/>
    <x v="56"/>
    <x v="2"/>
    <x v="1"/>
    <x v="7"/>
    <x v="135"/>
    <x v="69"/>
    <x v="58"/>
    <x v="116"/>
    <x v="126"/>
    <x v="33"/>
    <x v="6"/>
  </r>
  <r>
    <x v="20"/>
    <x v="21"/>
    <x v="57"/>
    <x v="110"/>
    <x v="105"/>
    <x v="56"/>
    <x v="1"/>
    <x v="23"/>
    <x v="37"/>
    <x v="2"/>
    <x v="0"/>
    <x v="4"/>
    <x v="90"/>
    <x v="46"/>
    <x v="13"/>
    <x v="43"/>
    <x v="129"/>
    <x v="29"/>
    <x v="44"/>
  </r>
  <r>
    <x v="20"/>
    <x v="133"/>
    <x v="65"/>
    <x v="86"/>
    <x v="76"/>
    <x v="35"/>
    <x v="1"/>
    <x v="17"/>
    <x v="36"/>
    <x v="2"/>
    <x v="0"/>
    <x v="7"/>
    <x v="80"/>
    <x v="81"/>
    <x v="45"/>
    <x v="110"/>
    <x v="124"/>
    <x v="49"/>
    <x v="25"/>
  </r>
  <r>
    <x v="21"/>
    <x v="103"/>
    <x v="83"/>
    <x v="9"/>
    <x v="3"/>
    <x v="44"/>
    <x v="1"/>
    <x v="5"/>
    <x v="14"/>
    <x v="2"/>
    <x v="1"/>
    <x v="14"/>
    <x v="24"/>
    <x v="36"/>
    <x v="58"/>
    <x v="18"/>
    <x v="11"/>
    <x v="4"/>
    <x v="15"/>
  </r>
  <r>
    <x v="21"/>
    <x v="22"/>
    <x v="15"/>
    <x v="23"/>
    <x v="16"/>
    <x v="39"/>
    <x v="1"/>
    <x v="5"/>
    <x v="14"/>
    <x v="2"/>
    <x v="1"/>
    <x v="12"/>
    <x v="25"/>
    <x v="51"/>
    <x v="37"/>
    <x v="61"/>
    <x v="32"/>
    <x v="20"/>
    <x v="55"/>
  </r>
  <r>
    <x v="21"/>
    <x v="150"/>
    <x v="64"/>
    <x v="42"/>
    <x v="39"/>
    <x v="60"/>
    <x v="1"/>
    <x v="8"/>
    <x v="23"/>
    <x v="2"/>
    <x v="0"/>
    <x v="9"/>
    <x v="40"/>
    <x v="67"/>
    <x v="70"/>
    <x v="61"/>
    <x v="90"/>
    <x v="39"/>
    <x v="14"/>
  </r>
  <r>
    <x v="21"/>
    <x v="111"/>
    <x v="8"/>
    <x v="134"/>
    <x v="131"/>
    <x v="94"/>
    <x v="0"/>
    <x v="18"/>
    <x v="57"/>
    <x v="2"/>
    <x v="1"/>
    <x v="6"/>
    <x v="137"/>
    <x v="67"/>
    <x v="67"/>
    <x v="8"/>
    <x v="24"/>
    <x v="2"/>
    <x v="101"/>
  </r>
  <r>
    <x v="22"/>
    <x v="140"/>
    <x v="105"/>
    <x v="62"/>
    <x v="62"/>
    <x v="61"/>
    <x v="1"/>
    <x v="8"/>
    <x v="23"/>
    <x v="2"/>
    <x v="1"/>
    <x v="12"/>
    <x v="43"/>
    <x v="32"/>
    <x v="17"/>
    <x v="45"/>
    <x v="28"/>
    <x v="13"/>
    <x v="69"/>
  </r>
  <r>
    <x v="22"/>
    <x v="69"/>
    <x v="139"/>
    <x v="50"/>
    <x v="22"/>
    <x v="6"/>
    <x v="1"/>
    <x v="17"/>
    <x v="34"/>
    <x v="2"/>
    <x v="1"/>
    <x v="10"/>
    <x v="67"/>
    <x v="46"/>
    <x v="32"/>
    <x v="61"/>
    <x v="51"/>
    <x v="15"/>
    <x v="122"/>
  </r>
  <r>
    <x v="22"/>
    <x v="63"/>
    <x v="56"/>
    <x v="85"/>
    <x v="90"/>
    <x v="91"/>
    <x v="0"/>
    <x v="19"/>
    <x v="41"/>
    <x v="2"/>
    <x v="1"/>
    <x v="10"/>
    <x v="94"/>
    <x v="20"/>
    <x v="59"/>
    <x v="85"/>
    <x v="86"/>
    <x v="24"/>
    <x v="100"/>
  </r>
  <r>
    <x v="22"/>
    <x v="72"/>
    <x v="133"/>
    <x v="64"/>
    <x v="65"/>
    <x v="63"/>
    <x v="1"/>
    <x v="19"/>
    <x v="40"/>
    <x v="2"/>
    <x v="1"/>
    <x v="10"/>
    <x v="86"/>
    <x v="60"/>
    <x v="50"/>
    <x v="95"/>
    <x v="77"/>
    <x v="31"/>
    <x v="117"/>
  </r>
  <r>
    <x v="22"/>
    <x v="19"/>
    <x v="88"/>
    <x v="77"/>
    <x v="50"/>
    <x v="17"/>
    <x v="1"/>
    <x v="19"/>
    <x v="44"/>
    <x v="2"/>
    <x v="1"/>
    <x v="9"/>
    <x v="97"/>
    <x v="65"/>
    <x v="49"/>
    <x v="111"/>
    <x v="97"/>
    <x v="29"/>
    <x v="18"/>
  </r>
  <r>
    <x v="22"/>
    <x v="95"/>
    <x v="93"/>
    <x v="89"/>
    <x v="68"/>
    <x v="16"/>
    <x v="1"/>
    <x v="17"/>
    <x v="36"/>
    <x v="2"/>
    <x v="0"/>
    <x v="8"/>
    <x v="81"/>
    <x v="81"/>
    <x v="50"/>
    <x v="109"/>
    <x v="121"/>
    <x v="49"/>
    <x v="105"/>
  </r>
  <r>
    <x v="23"/>
    <x v="20"/>
    <x v="24"/>
    <x v="129"/>
    <x v="143"/>
    <x v="153"/>
    <x v="0"/>
    <x v="10"/>
    <x v="47"/>
    <x v="2"/>
    <x v="1"/>
    <x v="7"/>
    <x v="124"/>
    <x v="5"/>
    <x v="29"/>
    <x v="12"/>
    <x v="23"/>
    <x v="26"/>
    <x v="75"/>
  </r>
  <r>
    <x v="23"/>
    <x v="30"/>
    <x v="4"/>
    <x v="148"/>
    <x v="149"/>
    <x v="140"/>
    <x v="0"/>
    <x v="17"/>
    <x v="61"/>
    <x v="0"/>
    <x v="1"/>
    <x v="6"/>
    <x v="147"/>
    <x v="0"/>
    <x v="25"/>
    <x v="19"/>
    <x v="40"/>
    <x v="26"/>
    <x v="126"/>
  </r>
  <r>
    <x v="23"/>
    <x v="29"/>
    <x v="7"/>
    <x v="149"/>
    <x v="151"/>
    <x v="147"/>
    <x v="0"/>
    <x v="17"/>
    <x v="61"/>
    <x v="0"/>
    <x v="1"/>
    <x v="8"/>
    <x v="149"/>
    <x v="0"/>
    <x v="25"/>
    <x v="19"/>
    <x v="48"/>
    <x v="26"/>
    <x v="29"/>
  </r>
  <r>
    <x v="24"/>
    <x v="7"/>
    <x v="26"/>
    <x v="115"/>
    <x v="116"/>
    <x v="82"/>
    <x v="1"/>
    <x v="7"/>
    <x v="32"/>
    <x v="2"/>
    <x v="1"/>
    <x v="8"/>
    <x v="78"/>
    <x v="43"/>
    <x v="34"/>
    <x v="68"/>
    <x v="66"/>
    <x v="33"/>
    <x v="120"/>
  </r>
  <r>
    <x v="24"/>
    <x v="6"/>
    <x v="34"/>
    <x v="91"/>
    <x v="94"/>
    <x v="87"/>
    <x v="0"/>
    <x v="5"/>
    <x v="36"/>
    <x v="2"/>
    <x v="1"/>
    <x v="8"/>
    <x v="79"/>
    <x v="25"/>
    <x v="9"/>
    <x v="46"/>
    <x v="37"/>
    <x v="25"/>
    <x v="22"/>
  </r>
  <r>
    <x v="25"/>
    <x v="134"/>
    <x v="125"/>
    <x v="2"/>
    <x v="13"/>
    <x v="144"/>
    <x v="0"/>
    <x v="4"/>
    <x v="2"/>
    <x v="2"/>
    <x v="1"/>
    <x v="18"/>
    <x v="2"/>
    <x v="24"/>
    <x v="2"/>
    <x v="28"/>
    <x v="3"/>
    <x v="3"/>
    <x v="109"/>
  </r>
  <r>
    <x v="25"/>
    <x v="127"/>
    <x v="66"/>
    <x v="8"/>
    <x v="25"/>
    <x v="138"/>
    <x v="0"/>
    <x v="4"/>
    <x v="2"/>
    <x v="2"/>
    <x v="1"/>
    <x v="18"/>
    <x v="3"/>
    <x v="24"/>
    <x v="2"/>
    <x v="38"/>
    <x v="5"/>
    <x v="3"/>
    <x v="9"/>
  </r>
  <r>
    <x v="25"/>
    <x v="141"/>
    <x v="14"/>
    <x v="16"/>
    <x v="28"/>
    <x v="112"/>
    <x v="0"/>
    <x v="4"/>
    <x v="10"/>
    <x v="2"/>
    <x v="1"/>
    <x v="16"/>
    <x v="19"/>
    <x v="24"/>
    <x v="2"/>
    <x v="28"/>
    <x v="9"/>
    <x v="3"/>
    <x v="2"/>
  </r>
  <r>
    <x v="25"/>
    <x v="88"/>
    <x v="22"/>
    <x v="41"/>
    <x v="57"/>
    <x v="100"/>
    <x v="0"/>
    <x v="6"/>
    <x v="17"/>
    <x v="2"/>
    <x v="1"/>
    <x v="12"/>
    <x v="32"/>
    <x v="44"/>
    <x v="20"/>
    <x v="73"/>
    <x v="48"/>
    <x v="6"/>
    <x v="34"/>
  </r>
  <r>
    <x v="25"/>
    <x v="85"/>
    <x v="102"/>
    <x v="20"/>
    <x v="18"/>
    <x v="74"/>
    <x v="1"/>
    <x v="6"/>
    <x v="17"/>
    <x v="2"/>
    <x v="1"/>
    <x v="13"/>
    <x v="30"/>
    <x v="44"/>
    <x v="20"/>
    <x v="73"/>
    <x v="29"/>
    <x v="6"/>
    <x v="124"/>
  </r>
  <r>
    <x v="26"/>
    <x v="105"/>
    <x v="99"/>
    <x v="74"/>
    <x v="85"/>
    <x v="105"/>
    <x v="0"/>
    <x v="9"/>
    <x v="30"/>
    <x v="2"/>
    <x v="1"/>
    <x v="10"/>
    <x v="59"/>
    <x v="30"/>
    <x v="10"/>
    <x v="57"/>
    <x v="78"/>
    <x v="25"/>
    <x v="27"/>
  </r>
  <r>
    <x v="26"/>
    <x v="65"/>
    <x v="85"/>
    <x v="53"/>
    <x v="71"/>
    <x v="104"/>
    <x v="0"/>
    <x v="9"/>
    <x v="30"/>
    <x v="2"/>
    <x v="0"/>
    <x v="9"/>
    <x v="55"/>
    <x v="15"/>
    <x v="16"/>
    <x v="23"/>
    <x v="53"/>
    <x v="19"/>
    <x v="112"/>
  </r>
  <r>
    <x v="27"/>
    <x v="43"/>
    <x v="141"/>
    <x v="11"/>
    <x v="19"/>
    <x v="116"/>
    <x v="0"/>
    <x v="3"/>
    <x v="9"/>
    <x v="2"/>
    <x v="1"/>
    <x v="18"/>
    <x v="14"/>
    <x v="8"/>
    <x v="4"/>
    <x v="16"/>
    <x v="7"/>
    <x v="7"/>
    <x v="13"/>
  </r>
  <r>
    <x v="27"/>
    <x v="27"/>
    <x v="152"/>
    <x v="35"/>
    <x v="52"/>
    <x v="113"/>
    <x v="0"/>
    <x v="6"/>
    <x v="15"/>
    <x v="2"/>
    <x v="1"/>
    <x v="12"/>
    <x v="28"/>
    <x v="38"/>
    <x v="29"/>
    <x v="66"/>
    <x v="38"/>
    <x v="33"/>
    <x v="5"/>
  </r>
  <r>
    <x v="27"/>
    <x v="16"/>
    <x v="111"/>
    <x v="88"/>
    <x v="92"/>
    <x v="97"/>
    <x v="0"/>
    <x v="13"/>
    <x v="45"/>
    <x v="2"/>
    <x v="1"/>
    <x v="11"/>
    <x v="106"/>
    <x v="47"/>
    <x v="42"/>
    <x v="78"/>
    <x v="79"/>
    <x v="33"/>
    <x v="40"/>
  </r>
  <r>
    <x v="27"/>
    <x v="33"/>
    <x v="86"/>
    <x v="29"/>
    <x v="79"/>
    <x v="149"/>
    <x v="0"/>
    <x v="3"/>
    <x v="18"/>
    <x v="2"/>
    <x v="1"/>
    <x v="16"/>
    <x v="33"/>
    <x v="24"/>
    <x v="16"/>
    <x v="11"/>
    <x v="8"/>
    <x v="11"/>
    <x v="128"/>
  </r>
  <r>
    <x v="27"/>
    <x v="142"/>
    <x v="129"/>
    <x v="3"/>
    <x v="15"/>
    <x v="130"/>
    <x v="0"/>
    <x v="8"/>
    <x v="19"/>
    <x v="2"/>
    <x v="0"/>
    <x v="8"/>
    <x v="31"/>
    <x v="29"/>
    <x v="3"/>
    <x v="36"/>
    <x v="14"/>
    <x v="14"/>
    <x v="32"/>
  </r>
  <r>
    <x v="27"/>
    <x v="132"/>
    <x v="113"/>
    <x v="69"/>
    <x v="96"/>
    <x v="133"/>
    <x v="0"/>
    <x v="13"/>
    <x v="39"/>
    <x v="2"/>
    <x v="0"/>
    <x v="7"/>
    <x v="84"/>
    <x v="70"/>
    <x v="53"/>
    <x v="86"/>
    <x v="104"/>
    <x v="41"/>
    <x v="115"/>
  </r>
  <r>
    <x v="27"/>
    <x v="117"/>
    <x v="68"/>
    <x v="30"/>
    <x v="53"/>
    <x v="123"/>
    <x v="0"/>
    <x v="5"/>
    <x v="13"/>
    <x v="2"/>
    <x v="0"/>
    <x v="12"/>
    <x v="23"/>
    <x v="4"/>
    <x v="4"/>
    <x v="7"/>
    <x v="18"/>
    <x v="16"/>
    <x v="17"/>
  </r>
  <r>
    <x v="27"/>
    <x v="4"/>
    <x v="116"/>
    <x v="68"/>
    <x v="100"/>
    <x v="146"/>
    <x v="0"/>
    <x v="10"/>
    <x v="23"/>
    <x v="2"/>
    <x v="0"/>
    <x v="8"/>
    <x v="46"/>
    <x v="39"/>
    <x v="3"/>
    <x v="49"/>
    <x v="80"/>
    <x v="33"/>
    <x v="7"/>
  </r>
  <r>
    <x v="27"/>
    <x v="82"/>
    <x v="30"/>
    <x v="141"/>
    <x v="136"/>
    <x v="72"/>
    <x v="1"/>
    <x v="25"/>
    <x v="53"/>
    <x v="2"/>
    <x v="0"/>
    <x v="0"/>
    <x v="134"/>
    <x v="65"/>
    <x v="68"/>
    <x v="80"/>
    <x v="143"/>
    <x v="51"/>
    <x v="45"/>
  </r>
  <r>
    <x v="28"/>
    <x v="68"/>
    <x v="29"/>
    <x v="18"/>
    <x v="34"/>
    <x v="117"/>
    <x v="0"/>
    <x v="5"/>
    <x v="7"/>
    <x v="2"/>
    <x v="1"/>
    <x v="11"/>
    <x v="9"/>
    <x v="13"/>
    <x v="16"/>
    <x v="6"/>
    <x v="21"/>
    <x v="11"/>
    <x v="4"/>
  </r>
  <r>
    <x v="28"/>
    <x v="81"/>
    <x v="128"/>
    <x v="28"/>
    <x v="51"/>
    <x v="124"/>
    <x v="0"/>
    <x v="5"/>
    <x v="7"/>
    <x v="2"/>
    <x v="1"/>
    <x v="11"/>
    <x v="12"/>
    <x v="13"/>
    <x v="16"/>
    <x v="13"/>
    <x v="25"/>
    <x v="11"/>
    <x v="39"/>
  </r>
  <r>
    <x v="28"/>
    <x v="107"/>
    <x v="103"/>
    <x v="57"/>
    <x v="84"/>
    <x v="122"/>
    <x v="0"/>
    <x v="3"/>
    <x v="23"/>
    <x v="2"/>
    <x v="1"/>
    <x v="12"/>
    <x v="42"/>
    <x v="43"/>
    <x v="18"/>
    <x v="51"/>
    <x v="42"/>
    <x v="22"/>
    <x v="118"/>
  </r>
  <r>
    <x v="28"/>
    <x v="25"/>
    <x v="28"/>
    <x v="52"/>
    <x v="82"/>
    <x v="129"/>
    <x v="0"/>
    <x v="5"/>
    <x v="7"/>
    <x v="2"/>
    <x v="1"/>
    <x v="11"/>
    <x v="17"/>
    <x v="11"/>
    <x v="4"/>
    <x v="4"/>
    <x v="49"/>
    <x v="8"/>
    <x v="20"/>
  </r>
  <r>
    <x v="28"/>
    <x v="75"/>
    <x v="16"/>
    <x v="34"/>
    <x v="60"/>
    <x v="121"/>
    <x v="0"/>
    <x v="5"/>
    <x v="7"/>
    <x v="2"/>
    <x v="1"/>
    <x v="11"/>
    <x v="13"/>
    <x v="13"/>
    <x v="16"/>
    <x v="6"/>
    <x v="20"/>
    <x v="12"/>
    <x v="11"/>
  </r>
  <r>
    <x v="28"/>
    <x v="18"/>
    <x v="101"/>
    <x v="22"/>
    <x v="38"/>
    <x v="111"/>
    <x v="0"/>
    <x v="5"/>
    <x v="7"/>
    <x v="2"/>
    <x v="1"/>
    <x v="11"/>
    <x v="10"/>
    <x v="13"/>
    <x v="14"/>
    <x v="5"/>
    <x v="22"/>
    <x v="11"/>
    <x v="50"/>
  </r>
  <r>
    <x v="29"/>
    <x v="123"/>
    <x v="48"/>
    <x v="76"/>
    <x v="69"/>
    <x v="43"/>
    <x v="1"/>
    <x v="4"/>
    <x v="27"/>
    <x v="2"/>
    <x v="1"/>
    <x v="10"/>
    <x v="53"/>
    <x v="18"/>
    <x v="11"/>
    <x v="26"/>
    <x v="38"/>
    <x v="18"/>
    <x v="6"/>
  </r>
  <r>
    <x v="29"/>
    <x v="146"/>
    <x v="12"/>
    <x v="81"/>
    <x v="77"/>
    <x v="52"/>
    <x v="1"/>
    <x v="4"/>
    <x v="27"/>
    <x v="2"/>
    <x v="1"/>
    <x v="10"/>
    <x v="54"/>
    <x v="18"/>
    <x v="11"/>
    <x v="26"/>
    <x v="41"/>
    <x v="18"/>
    <x v="44"/>
  </r>
  <r>
    <x v="29"/>
    <x v="124"/>
    <x v="42"/>
    <x v="99"/>
    <x v="98"/>
    <x v="81"/>
    <x v="1"/>
    <x v="8"/>
    <x v="31"/>
    <x v="2"/>
    <x v="1"/>
    <x v="10"/>
    <x v="68"/>
    <x v="35"/>
    <x v="23"/>
    <x v="58"/>
    <x v="59"/>
    <x v="30"/>
    <x v="121"/>
  </r>
  <r>
    <x v="29"/>
    <x v="147"/>
    <x v="50"/>
    <x v="104"/>
    <x v="107"/>
    <x v="90"/>
    <x v="0"/>
    <x v="8"/>
    <x v="31"/>
    <x v="2"/>
    <x v="1"/>
    <x v="10"/>
    <x v="71"/>
    <x v="35"/>
    <x v="23"/>
    <x v="60"/>
    <x v="65"/>
    <x v="30"/>
    <x v="25"/>
  </r>
  <r>
    <x v="29"/>
    <x v="24"/>
    <x v="11"/>
    <x v="137"/>
    <x v="137"/>
    <x v="110"/>
    <x v="0"/>
    <x v="7"/>
    <x v="54"/>
    <x v="2"/>
    <x v="1"/>
    <x v="8"/>
    <x v="131"/>
    <x v="35"/>
    <x v="40"/>
    <x v="56"/>
    <x v="100"/>
    <x v="33"/>
    <x v="15"/>
  </r>
  <r>
    <x v="29"/>
    <x v="125"/>
    <x v="54"/>
    <x v="120"/>
    <x v="122"/>
    <x v="103"/>
    <x v="0"/>
    <x v="12"/>
    <x v="42"/>
    <x v="2"/>
    <x v="1"/>
    <x v="9"/>
    <x v="108"/>
    <x v="58"/>
    <x v="44"/>
    <x v="70"/>
    <x v="99"/>
    <x v="43"/>
    <x v="5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C14" firstHeaderRow="0" firstDataRow="1" firstDataCol="1"/>
  <pivotFields count="19">
    <pivotField axis="axisRow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axis="axisRow" showAll="0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2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0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1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22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 v="10"/>
    </i>
  </rowItems>
  <colFields count="1">
    <field x="-2"/>
  </colFields>
  <colItems count="1">
    <i t="grand">
      <x v="0"/>
    </i>
  </colItems>
  <dataFields count="2">
    <dataField name="Average of Year Resale Value" fld="4" subtotal="average" numFmtId="170"/>
    <dataField name="Average of Price" fld="3" subtotal="average" numFmtId="170"/>
  </dataFields>
  <formats count="4">
    <format dxfId="15">
      <pivotArea outline="0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outline="0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12" firstHeaderRow="1" firstDataRow="1" firstDataCol="1"/>
  <pivotFields count="19">
    <pivotField axis="axisRow" showAll="0">
      <items count="31">
        <item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x="11"/>
        <item h="1" x="12"/>
        <item h="1" x="13"/>
        <item x="14"/>
        <item h="1" x="15"/>
        <item h="1" x="16"/>
        <item h="1" x="17"/>
        <item x="18"/>
        <item x="19"/>
        <item h="1" x="20"/>
        <item h="1" x="21"/>
        <item h="1" x="22"/>
        <item h="1" x="23"/>
        <item h="1" x="24"/>
        <item h="1" x="25"/>
        <item x="26"/>
        <item x="27"/>
        <item h="1" x="28"/>
        <item h="1" x="29"/>
        <item t="default"/>
      </items>
    </pivotField>
    <pivotField axis="axisRow" showAll="0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2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0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1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22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 t="grand">
      <x v="8"/>
    </i>
  </rowItems>
  <colItems count="1">
    <i t="grand">
      <x v="0"/>
    </i>
  </colItems>
  <dataFields count="1">
    <dataField name="Average of Retention %" fld="5" subtotal="average" numFmtId="165"/>
  </dataFields>
  <formats count="3">
    <format dxfId="19">
      <pivotArea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20">
      <pivotArea outline="0" fieldPosition="0"/>
    </format>
    <format dxfId="21">
      <pivotArea dataOnly="0" labelOnly="1" outline="0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S156" headerRowCount="1" totalsRowCount="0" totalsRowShown="0">
  <autoFilter ref="A1:S156"/>
  <tableColumns count="19">
    <tableColumn id="1" name="Manufacturer"/>
    <tableColumn id="2" name="Model"/>
    <tableColumn id="3" name="Unit Sales"/>
    <tableColumn id="4" name="Price"/>
    <tableColumn id="5" name="Year Resale Value"/>
    <tableColumn id="6" name="Retention %"/>
    <tableColumn id="7" name="Retention Value"/>
    <tableColumn id="8" name="Engine Size"/>
    <tableColumn id="9" name="Horsepower"/>
    <tableColumn id="10" name="HP Level"/>
    <tableColumn id="11" name="Vehicle_type"/>
    <tableColumn id="12" name="Fuel Efficiency"/>
    <tableColumn id="13" name="Power Perf Factor"/>
    <tableColumn id="14" name="Wheelbase"/>
    <tableColumn id="15" name="Width"/>
    <tableColumn id="16" name="Length"/>
    <tableColumn id="17" name="Curb Weight"/>
    <tableColumn id="18" name="Fuel Capacity"/>
    <tableColumn id="19" name="Latest Launch"/>
  </tableColumns>
</table>
</file>

<file path=xl/tables/table2.xml><?xml version="1.0" encoding="utf-8"?>
<table xmlns="http://schemas.openxmlformats.org/spreadsheetml/2006/main" id="2" name="Table14" displayName="Table14" ref="A1:S156" headerRowCount="1" totalsRowCount="0" totalsRowShown="0">
  <autoFilter ref="A1:S156">
    <filterColumn colId="0">
      <filters>
        <filter val="Toyota"/>
      </filters>
    </filterColumn>
  </autoFilter>
  <tableColumns count="19">
    <tableColumn id="1" name="Manufacturer"/>
    <tableColumn id="2" name="Model"/>
    <tableColumn id="3" name="Unit Sales"/>
    <tableColumn id="4" name="Price"/>
    <tableColumn id="5" name="Year Resale Value"/>
    <tableColumn id="6" name="Retention %"/>
    <tableColumn id="7" name="Retention Value"/>
    <tableColumn id="8" name="Engine Size"/>
    <tableColumn id="9" name="Horsepower"/>
    <tableColumn id="10" name="HP Level"/>
    <tableColumn id="11" name="Vehicle_type"/>
    <tableColumn id="12" name="Fuel Efficiency"/>
    <tableColumn id="13" name="Power Perf Factor"/>
    <tableColumn id="14" name="Fuel Capacity"/>
    <tableColumn id="15" name="Wheelbase"/>
    <tableColumn id="16" name="Width"/>
    <tableColumn id="17" name="Length"/>
    <tableColumn id="18" name="Curb Weight"/>
    <tableColumn id="19" name="Latest Launch"/>
  </tableColumns>
</table>
</file>

<file path=xl/tables/table3.xml><?xml version="1.0" encoding="utf-8"?>
<table xmlns="http://schemas.openxmlformats.org/spreadsheetml/2006/main" id="3" name="Table15" displayName="Table15" ref="A1:S156" headerRowCount="1" totalsRowCount="0" totalsRowShown="0">
  <autoFilter ref="A1:S156">
    <filterColumn colId="0">
      <filters>
        <filter val="Toyota"/>
      </filters>
    </filterColumn>
  </autoFilter>
  <tableColumns count="19">
    <tableColumn id="1" name="Manufacturer"/>
    <tableColumn id="2" name="Model"/>
    <tableColumn id="3" name="Power Perf Factor"/>
    <tableColumn id="4" name="Unit Sales"/>
    <tableColumn id="5" name="Price"/>
    <tableColumn id="6" name="Year Resale Value"/>
    <tableColumn id="7" name="Retention %"/>
    <tableColumn id="8" name="Retention Value"/>
    <tableColumn id="9" name="Engine Size"/>
    <tableColumn id="10" name="Horsepower"/>
    <tableColumn id="11" name="HP Level"/>
    <tableColumn id="12" name="Vehicle_type"/>
    <tableColumn id="13" name="Fuel Efficiency"/>
    <tableColumn id="14" name="Wheelbase"/>
    <tableColumn id="15" name="Width"/>
    <tableColumn id="16" name="Length"/>
    <tableColumn id="17" name="Curb Weight"/>
    <tableColumn id="18" name="Fuel Capacity"/>
    <tableColumn id="19" name="Latest Launc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14.17"/>
    <col collapsed="false" customWidth="true" hidden="false" outlineLevel="0" max="2" min="2" style="1" width="22.5"/>
    <col collapsed="false" customWidth="true" hidden="false" outlineLevel="0" max="3" min="3" style="0" width="26.17"/>
    <col collapsed="false" customWidth="true" hidden="false" outlineLevel="0" max="4" min="4" style="0" width="20.3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21.66"/>
    <col collapsed="false" customWidth="true" hidden="false" outlineLevel="0" max="135" min="8" style="0" width="6"/>
    <col collapsed="false" customWidth="true" hidden="false" outlineLevel="0" max="156" min="136" style="0" width="7"/>
    <col collapsed="false" customWidth="true" hidden="false" outlineLevel="0" max="157" min="157" style="0" width="11.33"/>
  </cols>
  <sheetData>
    <row r="3" customFormat="false" ht="15" hidden="false" customHeight="false" outlineLevel="0" collapsed="false">
      <c r="A3" s="2" t="s">
        <v>0</v>
      </c>
      <c r="B3" s="3" t="s">
        <v>1</v>
      </c>
    </row>
    <row r="4" customFormat="false" ht="15" hidden="false" customHeight="false" outlineLevel="0" collapsed="false">
      <c r="A4" s="4" t="s">
        <v>2</v>
      </c>
      <c r="B4" s="5" t="n">
        <v>0.722830757152736</v>
      </c>
    </row>
    <row r="5" customFormat="false" ht="15" hidden="false" customHeight="false" outlineLevel="0" collapsed="false">
      <c r="A5" s="4" t="s">
        <v>3</v>
      </c>
      <c r="B5" s="5" t="n">
        <v>0.779058313862411</v>
      </c>
    </row>
    <row r="6" customFormat="false" ht="15" hidden="false" customHeight="false" outlineLevel="0" collapsed="false">
      <c r="A6" s="4" t="s">
        <v>4</v>
      </c>
      <c r="B6" s="5" t="n">
        <v>0.668250466655354</v>
      </c>
    </row>
    <row r="7" customFormat="false" ht="15" hidden="false" customHeight="false" outlineLevel="0" collapsed="false">
      <c r="A7" s="4" t="s">
        <v>5</v>
      </c>
      <c r="B7" s="5" t="n">
        <v>0.810916009030682</v>
      </c>
    </row>
    <row r="8" customFormat="false" ht="15" hidden="false" customHeight="false" outlineLevel="0" collapsed="false">
      <c r="A8" s="4" t="s">
        <v>6</v>
      </c>
      <c r="B8" s="5" t="n">
        <v>0.636381274545479</v>
      </c>
    </row>
    <row r="9" customFormat="false" ht="15" hidden="false" customHeight="false" outlineLevel="0" collapsed="false">
      <c r="A9" s="4" t="s">
        <v>7</v>
      </c>
      <c r="B9" s="5" t="n">
        <v>0.588186184670416</v>
      </c>
    </row>
    <row r="10" customFormat="false" ht="15" hidden="false" customHeight="false" outlineLevel="0" collapsed="false">
      <c r="A10" s="4" t="s">
        <v>8</v>
      </c>
      <c r="B10" s="5" t="n">
        <v>0.738511666412038</v>
      </c>
    </row>
    <row r="11" customFormat="false" ht="15" hidden="false" customHeight="false" outlineLevel="0" collapsed="false">
      <c r="A11" s="4" t="s">
        <v>9</v>
      </c>
      <c r="B11" s="5" t="n">
        <v>0.792418491642172</v>
      </c>
    </row>
    <row r="12" customFormat="false" ht="15" hidden="false" customHeight="false" outlineLevel="0" collapsed="false">
      <c r="A12" s="6" t="s">
        <v>10</v>
      </c>
      <c r="B12" s="7" t="n">
        <v>0.719457308343115</v>
      </c>
    </row>
    <row r="13" customFormat="false" ht="15" hidden="false" customHeight="false" outlineLevel="0" collapsed="false">
      <c r="B13" s="0"/>
    </row>
    <row r="14" customFormat="false" ht="15" hidden="false" customHeight="false" outlineLevel="0" collapsed="false">
      <c r="B14" s="0"/>
    </row>
    <row r="15" customFormat="false" ht="15" hidden="false" customHeight="false" outlineLevel="0" collapsed="false">
      <c r="B15" s="0"/>
    </row>
    <row r="16" customFormat="false" ht="15" hidden="false" customHeight="false" outlineLevel="0" collapsed="false">
      <c r="B16" s="0"/>
    </row>
    <row r="17" customFormat="false" ht="15" hidden="false" customHeight="false" outlineLevel="0" collapsed="false">
      <c r="B17" s="0"/>
    </row>
    <row r="18" customFormat="false" ht="15" hidden="false" customHeight="false" outlineLevel="0" collapsed="false">
      <c r="B18" s="0"/>
    </row>
    <row r="19" customFormat="false" ht="15" hidden="false" customHeight="false" outlineLevel="0" collapsed="false">
      <c r="B19" s="0"/>
    </row>
    <row r="20" customFormat="false" ht="15" hidden="false" customHeight="false" outlineLevel="0" collapsed="false">
      <c r="B20" s="0"/>
    </row>
    <row r="21" customFormat="false" ht="15" hidden="false" customHeight="false" outlineLevel="0" collapsed="false">
      <c r="B21" s="0"/>
    </row>
    <row r="22" customFormat="false" ht="15" hidden="false" customHeight="false" outlineLevel="0" collapsed="false">
      <c r="B22" s="0"/>
    </row>
    <row r="23" customFormat="false" ht="15" hidden="false" customHeight="false" outlineLevel="0" collapsed="false">
      <c r="B23" s="0"/>
    </row>
    <row r="24" customFormat="false" ht="15" hidden="false" customHeight="false" outlineLevel="0" collapsed="false">
      <c r="B24" s="0"/>
    </row>
    <row r="25" customFormat="false" ht="15" hidden="false" customHeight="false" outlineLevel="0" collapsed="false">
      <c r="B25" s="0"/>
    </row>
    <row r="26" customFormat="false" ht="15" hidden="false" customHeight="false" outlineLevel="0" collapsed="false">
      <c r="B26" s="0"/>
    </row>
    <row r="27" customFormat="false" ht="15" hidden="false" customHeight="false" outlineLevel="0" collapsed="false">
      <c r="B27" s="0"/>
    </row>
    <row r="28" customFormat="false" ht="15" hidden="false" customHeight="false" outlineLevel="0" collapsed="false">
      <c r="B28" s="0"/>
    </row>
    <row r="29" customFormat="false" ht="15" hidden="false" customHeight="false" outlineLevel="0" collapsed="false">
      <c r="B29" s="0"/>
    </row>
    <row r="30" customFormat="false" ht="15" hidden="false" customHeight="false" outlineLevel="0" collapsed="false">
      <c r="B30" s="0"/>
    </row>
    <row r="31" customFormat="false" ht="15" hidden="false" customHeight="false" outlineLevel="0" collapsed="false">
      <c r="B31" s="0"/>
    </row>
    <row r="32" customFormat="false" ht="15" hidden="false" customHeight="false" outlineLevel="0" collapsed="false">
      <c r="B32" s="0"/>
    </row>
    <row r="33" customFormat="false" ht="15" hidden="false" customHeight="false" outlineLevel="0" collapsed="false">
      <c r="B33" s="0"/>
    </row>
    <row r="34" customFormat="false" ht="15" hidden="false" customHeight="false" outlineLevel="0" collapsed="false">
      <c r="B3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14.17"/>
    <col collapsed="false" customWidth="true" hidden="false" outlineLevel="0" max="2" min="2" style="8" width="27.5"/>
    <col collapsed="false" customWidth="true" hidden="false" outlineLevel="0" max="3" min="3" style="8" width="15.67"/>
    <col collapsed="false" customWidth="true" hidden="false" outlineLevel="0" max="4" min="4" style="0" width="23.8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21.66"/>
    <col collapsed="false" customWidth="true" hidden="false" outlineLevel="0" max="135" min="8" style="0" width="6"/>
    <col collapsed="false" customWidth="true" hidden="false" outlineLevel="0" max="156" min="136" style="0" width="7"/>
    <col collapsed="false" customWidth="true" hidden="false" outlineLevel="0" max="157" min="157" style="0" width="11.33"/>
  </cols>
  <sheetData>
    <row r="3" customFormat="false" ht="15" hidden="false" customHeight="false" outlineLevel="0" collapsed="false">
      <c r="A3" s="2" t="s">
        <v>0</v>
      </c>
      <c r="B3" s="9" t="s">
        <v>11</v>
      </c>
      <c r="C3" s="10" t="s">
        <v>12</v>
      </c>
    </row>
    <row r="4" customFormat="false" ht="15" hidden="false" customHeight="false" outlineLevel="0" collapsed="false">
      <c r="A4" s="11" t="s">
        <v>9</v>
      </c>
      <c r="B4" s="12" t="n">
        <v>16883.2222222222</v>
      </c>
      <c r="C4" s="13" t="n">
        <v>21982.8888888889</v>
      </c>
    </row>
    <row r="5" customFormat="false" ht="15" hidden="false" customHeight="false" outlineLevel="0" collapsed="false">
      <c r="A5" s="14" t="s">
        <v>13</v>
      </c>
      <c r="B5" s="15" t="n">
        <v>19425</v>
      </c>
      <c r="C5" s="16" t="n">
        <v>22288</v>
      </c>
    </row>
    <row r="6" customFormat="false" ht="15" hidden="false" customHeight="false" outlineLevel="0" collapsed="false">
      <c r="A6" s="14" t="s">
        <v>14</v>
      </c>
      <c r="B6" s="15" t="n">
        <v>18140</v>
      </c>
      <c r="C6" s="16" t="n">
        <v>25545</v>
      </c>
    </row>
    <row r="7" customFormat="false" ht="15" hidden="false" customHeight="false" outlineLevel="0" collapsed="false">
      <c r="A7" s="14" t="s">
        <v>15</v>
      </c>
      <c r="B7" s="15" t="n">
        <v>13245</v>
      </c>
      <c r="C7" s="16" t="n">
        <v>17518</v>
      </c>
      <c r="F7" s="17"/>
    </row>
    <row r="8" customFormat="false" ht="15" hidden="false" customHeight="false" outlineLevel="0" collapsed="false">
      <c r="A8" s="14" t="s">
        <v>16</v>
      </c>
      <c r="B8" s="15" t="n">
        <v>15445</v>
      </c>
      <c r="C8" s="16" t="n">
        <v>16875</v>
      </c>
    </row>
    <row r="9" customFormat="false" ht="15" hidden="false" customHeight="false" outlineLevel="0" collapsed="false">
      <c r="A9" s="14" t="s">
        <v>17</v>
      </c>
      <c r="B9" s="15" t="n">
        <v>10025</v>
      </c>
      <c r="C9" s="16" t="n">
        <v>13108</v>
      </c>
    </row>
    <row r="10" customFormat="false" ht="15" hidden="false" customHeight="false" outlineLevel="0" collapsed="false">
      <c r="A10" s="14" t="s">
        <v>18</v>
      </c>
      <c r="B10" s="15" t="n">
        <v>34080</v>
      </c>
      <c r="C10" s="16" t="n">
        <v>51728</v>
      </c>
    </row>
    <row r="11" customFormat="false" ht="15" hidden="false" customHeight="false" outlineLevel="0" collapsed="false">
      <c r="A11" s="14" t="s">
        <v>19</v>
      </c>
      <c r="B11" s="15" t="n">
        <v>13325</v>
      </c>
      <c r="C11" s="16" t="n">
        <v>16888</v>
      </c>
    </row>
    <row r="12" customFormat="false" ht="15" hidden="false" customHeight="false" outlineLevel="0" collapsed="false">
      <c r="A12" s="14" t="s">
        <v>20</v>
      </c>
      <c r="B12" s="15" t="n">
        <v>18689</v>
      </c>
      <c r="C12" s="16" t="n">
        <v>22368</v>
      </c>
    </row>
    <row r="13" customFormat="false" ht="15" hidden="false" customHeight="false" outlineLevel="0" collapsed="false">
      <c r="A13" s="18" t="s">
        <v>21</v>
      </c>
      <c r="B13" s="19" t="n">
        <v>9575</v>
      </c>
      <c r="C13" s="20" t="n">
        <v>11528</v>
      </c>
    </row>
    <row r="14" customFormat="false" ht="15" hidden="false" customHeight="false" outlineLevel="0" collapsed="false">
      <c r="A14" s="6" t="s">
        <v>10</v>
      </c>
      <c r="B14" s="21" t="n">
        <v>16883.2222222222</v>
      </c>
      <c r="C14" s="22" t="n">
        <v>21982.8888888889</v>
      </c>
    </row>
    <row r="15" customFormat="false" ht="15" hidden="false" customHeight="false" outlineLevel="0" collapsed="false">
      <c r="B15" s="0"/>
      <c r="C15" s="0"/>
    </row>
    <row r="16" customFormat="false" ht="15" hidden="false" customHeight="false" outlineLevel="0" collapsed="false">
      <c r="B16" s="0"/>
      <c r="C16" s="0"/>
    </row>
    <row r="17" customFormat="false" ht="15" hidden="false" customHeight="false" outlineLevel="0" collapsed="false">
      <c r="B17" s="0"/>
      <c r="C17" s="0"/>
    </row>
    <row r="18" customFormat="false" ht="15" hidden="false" customHeight="false" outlineLevel="0" collapsed="false">
      <c r="B18" s="0"/>
      <c r="C18" s="0"/>
    </row>
    <row r="19" customFormat="false" ht="15" hidden="false" customHeight="false" outlineLevel="0" collapsed="false">
      <c r="B19" s="0"/>
      <c r="C19" s="0"/>
    </row>
    <row r="20" customFormat="false" ht="15" hidden="false" customHeight="false" outlineLevel="0" collapsed="false">
      <c r="B20" s="0"/>
      <c r="C20" s="0"/>
    </row>
    <row r="21" customFormat="false" ht="15" hidden="false" customHeight="false" outlineLevel="0" collapsed="false">
      <c r="B21" s="0"/>
      <c r="C21" s="0"/>
    </row>
    <row r="22" customFormat="false" ht="15" hidden="false" customHeight="false" outlineLevel="0" collapsed="false">
      <c r="B22" s="0"/>
      <c r="C22" s="0"/>
    </row>
    <row r="23" customFormat="false" ht="15" hidden="false" customHeight="false" outlineLevel="0" collapsed="false">
      <c r="B23" s="0"/>
      <c r="C23" s="0"/>
    </row>
    <row r="24" customFormat="false" ht="15" hidden="false" customHeight="false" outlineLevel="0" collapsed="false">
      <c r="B24" s="0"/>
      <c r="C24" s="0"/>
    </row>
    <row r="25" customFormat="false" ht="15" hidden="false" customHeight="false" outlineLevel="0" collapsed="false">
      <c r="B25" s="0"/>
      <c r="C25" s="0"/>
    </row>
    <row r="26" customFormat="false" ht="15" hidden="false" customHeight="false" outlineLevel="0" collapsed="false">
      <c r="B26" s="0"/>
      <c r="C26" s="0"/>
    </row>
    <row r="27" customFormat="false" ht="15" hidden="false" customHeight="false" outlineLevel="0" collapsed="false">
      <c r="B27" s="0"/>
      <c r="C27" s="0"/>
    </row>
    <row r="28" customFormat="false" ht="15" hidden="false" customHeight="false" outlineLevel="0" collapsed="false">
      <c r="B28" s="0"/>
      <c r="C28" s="0"/>
    </row>
    <row r="29" customFormat="false" ht="15" hidden="false" customHeight="false" outlineLevel="0" collapsed="false">
      <c r="B29" s="0"/>
      <c r="C29" s="0"/>
    </row>
    <row r="30" customFormat="false" ht="15" hidden="false" customHeight="false" outlineLevel="0" collapsed="false">
      <c r="B30" s="0"/>
      <c r="C30" s="0"/>
    </row>
    <row r="31" customFormat="false" ht="15" hidden="false" customHeight="false" outlineLevel="0" collapsed="false">
      <c r="B31" s="0"/>
      <c r="C31" s="0"/>
    </row>
    <row r="32" customFormat="false" ht="15" hidden="false" customHeight="false" outlineLevel="0" collapsed="false">
      <c r="B32" s="0"/>
      <c r="C32" s="0"/>
    </row>
    <row r="33" customFormat="false" ht="15" hidden="false" customHeight="false" outlineLevel="0" collapsed="false">
      <c r="B33" s="0"/>
      <c r="C33" s="0"/>
    </row>
    <row r="34" customFormat="false" ht="15" hidden="false" customHeight="false" outlineLevel="0" collapsed="false">
      <c r="B34" s="0"/>
      <c r="C3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3" activeCellId="0" sqref="C173"/>
    </sheetView>
  </sheetViews>
  <sheetFormatPr defaultColWidth="9.16796875" defaultRowHeight="15" customHeight="true" zeroHeight="false" outlineLevelRow="0" outlineLevelCol="0"/>
  <cols>
    <col collapsed="false" customWidth="true" hidden="false" outlineLevel="0" max="1" min="1" style="0" width="15.33"/>
    <col collapsed="false" customWidth="true" hidden="false" outlineLevel="0" max="2" min="2" style="0" width="15.5"/>
    <col collapsed="false" customWidth="true" hidden="false" outlineLevel="0" max="3" min="3" style="0" width="20.5"/>
    <col collapsed="false" customWidth="true" hidden="false" outlineLevel="0" max="4" min="4" style="23" width="12.67"/>
    <col collapsed="false" customWidth="true" hidden="false" outlineLevel="0" max="5" min="5" style="0" width="19.5"/>
    <col collapsed="false" customWidth="true" hidden="false" outlineLevel="0" max="6" min="6" style="0" width="14"/>
    <col collapsed="false" customWidth="true" hidden="false" outlineLevel="0" max="7" min="7" style="0" width="17.5"/>
    <col collapsed="false" customWidth="true" hidden="false" outlineLevel="0" max="8" min="8" style="0" width="13.17"/>
    <col collapsed="false" customWidth="true" hidden="false" outlineLevel="0" max="9" min="9" style="0" width="14"/>
    <col collapsed="false" customWidth="true" hidden="false" outlineLevel="0" max="10" min="10" style="0" width="11.83"/>
    <col collapsed="false" customWidth="true" hidden="false" outlineLevel="0" max="11" min="11" style="0" width="14.83"/>
    <col collapsed="false" customWidth="true" hidden="false" outlineLevel="0" max="12" min="12" style="0" width="14.67"/>
    <col collapsed="false" customWidth="true" hidden="false" outlineLevel="0" max="13" min="13" style="0" width="17.83"/>
    <col collapsed="false" customWidth="true" hidden="true" outlineLevel="0" max="14" min="14" style="0" width="13.17"/>
    <col collapsed="false" customWidth="true" hidden="true" outlineLevel="0" max="15" min="15" style="0" width="11"/>
    <col collapsed="false" customWidth="true" hidden="true" outlineLevel="0" max="16" min="16" style="0" width="6.5"/>
    <col collapsed="false" customWidth="true" hidden="true" outlineLevel="0" max="17" min="17" style="0" width="7"/>
    <col collapsed="false" customWidth="true" hidden="true" outlineLevel="0" max="18" min="18" style="0" width="12.33"/>
    <col collapsed="false" customWidth="true" hidden="true" outlineLevel="0" max="19" min="19" style="0" width="13.5"/>
    <col collapsed="false" customWidth="true" hidden="false" outlineLevel="0" max="23" min="23" style="0" width="11.33"/>
    <col collapsed="false" customWidth="true" hidden="false" outlineLevel="0" max="24" min="24" style="0" width="7.5"/>
    <col collapsed="false" customWidth="true" hidden="false" outlineLevel="0" max="25" min="25" style="0" width="11.5"/>
    <col collapsed="false" customWidth="true" hidden="false" outlineLevel="0" max="26" min="26" style="0" width="7.83"/>
    <col collapsed="false" customWidth="true" hidden="false" outlineLevel="0" max="27" min="27" style="0" width="16.5"/>
  </cols>
  <sheetData>
    <row r="1" s="26" customFormat="true" ht="15" hidden="false" customHeight="false" outlineLevel="0" collapsed="false">
      <c r="A1" s="24" t="s">
        <v>22</v>
      </c>
      <c r="B1" s="24" t="s">
        <v>23</v>
      </c>
      <c r="C1" s="24" t="s">
        <v>24</v>
      </c>
      <c r="D1" s="25" t="s">
        <v>25</v>
      </c>
      <c r="E1" s="24" t="s">
        <v>26</v>
      </c>
      <c r="F1" s="24" t="s">
        <v>27</v>
      </c>
      <c r="G1" s="24" t="s">
        <v>28</v>
      </c>
      <c r="H1" s="24" t="s">
        <v>29</v>
      </c>
      <c r="I1" s="24" t="s">
        <v>30</v>
      </c>
      <c r="J1" s="24" t="s">
        <v>31</v>
      </c>
      <c r="K1" s="24" t="s">
        <v>32</v>
      </c>
      <c r="L1" s="24" t="s">
        <v>33</v>
      </c>
      <c r="M1" s="24" t="s">
        <v>34</v>
      </c>
      <c r="N1" s="24" t="s">
        <v>35</v>
      </c>
      <c r="O1" s="24" t="s">
        <v>36</v>
      </c>
      <c r="P1" s="24" t="s">
        <v>37</v>
      </c>
      <c r="Q1" s="24" t="s">
        <v>38</v>
      </c>
      <c r="R1" s="24" t="s">
        <v>39</v>
      </c>
      <c r="S1" s="24" t="s">
        <v>40</v>
      </c>
    </row>
    <row r="2" customFormat="false" ht="16.15" hidden="true" customHeight="false" outlineLevel="0" collapsed="false">
      <c r="A2" s="27" t="s">
        <v>2</v>
      </c>
      <c r="B2" s="28" t="s">
        <v>41</v>
      </c>
      <c r="C2" s="29" t="n">
        <v>16919</v>
      </c>
      <c r="D2" s="30" t="n">
        <v>21500</v>
      </c>
      <c r="E2" s="30" t="n">
        <v>16360</v>
      </c>
      <c r="F2" s="31" t="n">
        <f aca="false">SUM(E2/D2)</f>
        <v>0.76093023255814</v>
      </c>
      <c r="G2" s="31" t="str">
        <f aca="false">IF(F2&gt;69%, "GOOD", "POOR")</f>
        <v>GOOD</v>
      </c>
      <c r="H2" s="32" t="n">
        <v>1.8</v>
      </c>
      <c r="I2" s="32" t="n">
        <v>140</v>
      </c>
      <c r="J2" s="32" t="str">
        <f aca="false" t="array" ref="J2:J2">_xlfn.IFS(I2&gt;299,"High HP",I2&gt;99,"Medium HP",I2&lt;100,"Low HP")</f>
        <v>Medium HP</v>
      </c>
      <c r="K2" s="32" t="s">
        <v>42</v>
      </c>
      <c r="L2" s="32" t="n">
        <v>28</v>
      </c>
      <c r="M2" s="32" t="n">
        <v>58.28014952</v>
      </c>
      <c r="N2" s="32" t="n">
        <v>13.2</v>
      </c>
      <c r="O2" s="32" t="n">
        <v>101.2</v>
      </c>
      <c r="P2" s="32" t="n">
        <v>67.3</v>
      </c>
      <c r="Q2" s="32" t="n">
        <v>172.4</v>
      </c>
      <c r="R2" s="32" t="n">
        <v>2.639</v>
      </c>
      <c r="S2" s="33" t="n">
        <v>40941</v>
      </c>
    </row>
    <row r="3" customFormat="false" ht="16.15" hidden="true" customHeight="false" outlineLevel="0" collapsed="false">
      <c r="A3" s="27" t="s">
        <v>2</v>
      </c>
      <c r="B3" s="28" t="s">
        <v>43</v>
      </c>
      <c r="C3" s="29" t="n">
        <v>39384</v>
      </c>
      <c r="D3" s="30" t="n">
        <v>28400</v>
      </c>
      <c r="E3" s="30" t="n">
        <v>19875</v>
      </c>
      <c r="F3" s="31" t="n">
        <f aca="false">SUM(E3/D3)</f>
        <v>0.699823943661972</v>
      </c>
      <c r="G3" s="31" t="str">
        <f aca="false">IF(F3&gt;69%, "GOOD", "POOR")</f>
        <v>GOOD</v>
      </c>
      <c r="H3" s="32" t="n">
        <v>3.2</v>
      </c>
      <c r="I3" s="32" t="n">
        <v>225</v>
      </c>
      <c r="J3" s="32" t="str">
        <f aca="false" t="array" ref="J3:J3">_xlfn.IFS(I3&gt;299,"High HP",I3&gt;99,"Medium HP",I3&lt;100,"Low HP")</f>
        <v>Medium HP</v>
      </c>
      <c r="K3" s="32" t="s">
        <v>42</v>
      </c>
      <c r="L3" s="32" t="n">
        <v>25</v>
      </c>
      <c r="M3" s="32" t="n">
        <v>91.37077766</v>
      </c>
      <c r="N3" s="32" t="n">
        <v>17.2</v>
      </c>
      <c r="O3" s="32" t="n">
        <v>108.1</v>
      </c>
      <c r="P3" s="32" t="n">
        <v>70.3</v>
      </c>
      <c r="Q3" s="32" t="n">
        <v>192.9</v>
      </c>
      <c r="R3" s="32" t="n">
        <v>3.517</v>
      </c>
      <c r="S3" s="33" t="n">
        <v>40697</v>
      </c>
    </row>
    <row r="4" customFormat="false" ht="16.15" hidden="true" customHeight="false" outlineLevel="0" collapsed="false">
      <c r="A4" s="27" t="s">
        <v>2</v>
      </c>
      <c r="B4" s="28" t="s">
        <v>44</v>
      </c>
      <c r="C4" s="29" t="n">
        <v>8588</v>
      </c>
      <c r="D4" s="30" t="n">
        <v>42000</v>
      </c>
      <c r="E4" s="30" t="n">
        <v>29725</v>
      </c>
      <c r="F4" s="31" t="n">
        <f aca="false">SUM(E4/D4)</f>
        <v>0.707738095238095</v>
      </c>
      <c r="G4" s="31" t="str">
        <f aca="false">IF(F4&gt;69%, "GOOD", "POOR")</f>
        <v>GOOD</v>
      </c>
      <c r="H4" s="32" t="n">
        <v>3.5</v>
      </c>
      <c r="I4" s="32" t="n">
        <v>210</v>
      </c>
      <c r="J4" s="32" t="str">
        <f aca="false" t="array" ref="J4:J4">_xlfn.IFS(I4&gt;299,"High HP",I4&gt;99,"Medium HP",I4&lt;100,"Low HP")</f>
        <v>Medium HP</v>
      </c>
      <c r="K4" s="32" t="s">
        <v>42</v>
      </c>
      <c r="L4" s="32" t="n">
        <v>22</v>
      </c>
      <c r="M4" s="32" t="n">
        <v>91.38977933</v>
      </c>
      <c r="N4" s="32" t="n">
        <v>18</v>
      </c>
      <c r="O4" s="32" t="n">
        <v>114.6</v>
      </c>
      <c r="P4" s="32" t="n">
        <v>71.4</v>
      </c>
      <c r="Q4" s="32" t="n">
        <v>196.6</v>
      </c>
      <c r="R4" s="32" t="n">
        <v>3.85</v>
      </c>
      <c r="S4" s="33" t="n">
        <v>40612</v>
      </c>
    </row>
    <row r="5" customFormat="false" ht="16.15" hidden="true" customHeight="false" outlineLevel="0" collapsed="false">
      <c r="A5" s="27" t="s">
        <v>45</v>
      </c>
      <c r="B5" s="28" t="s">
        <v>46</v>
      </c>
      <c r="C5" s="29" t="n">
        <v>20397</v>
      </c>
      <c r="D5" s="30" t="n">
        <v>23990</v>
      </c>
      <c r="E5" s="30" t="n">
        <v>22255</v>
      </c>
      <c r="F5" s="31" t="n">
        <f aca="false">SUM(E5/D5)</f>
        <v>0.927678199249687</v>
      </c>
      <c r="G5" s="31" t="str">
        <f aca="false">IF(F5&gt;69%, "GOOD", "POOR")</f>
        <v>GOOD</v>
      </c>
      <c r="H5" s="32" t="n">
        <v>1.8</v>
      </c>
      <c r="I5" s="32" t="n">
        <v>150</v>
      </c>
      <c r="J5" s="32" t="str">
        <f aca="false" t="array" ref="J5:J5">_xlfn.IFS(I5&gt;299,"High HP",I5&gt;99,"Medium HP",I5&lt;100,"Low HP")</f>
        <v>Medium HP</v>
      </c>
      <c r="K5" s="32" t="s">
        <v>42</v>
      </c>
      <c r="L5" s="32" t="n">
        <v>27</v>
      </c>
      <c r="M5" s="32" t="n">
        <v>62.7776392</v>
      </c>
      <c r="N5" s="32" t="n">
        <v>16.4</v>
      </c>
      <c r="O5" s="32" t="n">
        <v>102.6</v>
      </c>
      <c r="P5" s="32" t="n">
        <v>68.2</v>
      </c>
      <c r="Q5" s="32" t="n">
        <v>178</v>
      </c>
      <c r="R5" s="32" t="n">
        <v>2.998</v>
      </c>
      <c r="S5" s="33" t="n">
        <v>40824</v>
      </c>
      <c r="U5" s="26"/>
      <c r="W5" s="34"/>
    </row>
    <row r="6" customFormat="false" ht="16.15" hidden="true" customHeight="false" outlineLevel="0" collapsed="false">
      <c r="A6" s="27" t="s">
        <v>45</v>
      </c>
      <c r="B6" s="28" t="s">
        <v>47</v>
      </c>
      <c r="C6" s="29" t="n">
        <v>18780</v>
      </c>
      <c r="D6" s="30" t="n">
        <v>33950</v>
      </c>
      <c r="E6" s="30" t="n">
        <v>23555</v>
      </c>
      <c r="F6" s="31" t="n">
        <f aca="false">SUM(E6/D6)</f>
        <v>0.693814432989691</v>
      </c>
      <c r="G6" s="31" t="str">
        <f aca="false">IF(F6&gt;69%, "GOOD", "POOR")</f>
        <v>GOOD</v>
      </c>
      <c r="H6" s="32" t="n">
        <v>2.8</v>
      </c>
      <c r="I6" s="32" t="n">
        <v>200</v>
      </c>
      <c r="J6" s="32" t="str">
        <f aca="false" t="array" ref="J6:J6">_xlfn.IFS(I6&gt;299,"High HP",I6&gt;99,"Medium HP",I6&lt;100,"Low HP")</f>
        <v>Medium HP</v>
      </c>
      <c r="K6" s="32" t="s">
        <v>42</v>
      </c>
      <c r="L6" s="32" t="n">
        <v>22</v>
      </c>
      <c r="M6" s="32" t="n">
        <v>84.56510502</v>
      </c>
      <c r="N6" s="32" t="n">
        <v>18.5</v>
      </c>
      <c r="O6" s="32" t="n">
        <v>108.7</v>
      </c>
      <c r="P6" s="32" t="n">
        <v>76.1</v>
      </c>
      <c r="Q6" s="32" t="n">
        <v>192</v>
      </c>
      <c r="R6" s="32" t="n">
        <v>3.561</v>
      </c>
      <c r="S6" s="33" t="n">
        <v>40764</v>
      </c>
      <c r="W6" s="34"/>
    </row>
    <row r="7" customFormat="false" ht="16.15" hidden="true" customHeight="false" outlineLevel="0" collapsed="false">
      <c r="A7" s="27" t="s">
        <v>45</v>
      </c>
      <c r="B7" s="28" t="s">
        <v>48</v>
      </c>
      <c r="C7" s="29" t="n">
        <v>1380</v>
      </c>
      <c r="D7" s="30" t="n">
        <v>62000</v>
      </c>
      <c r="E7" s="30" t="n">
        <v>39000</v>
      </c>
      <c r="F7" s="31" t="n">
        <f aca="false">SUM(E7/D7)</f>
        <v>0.629032258064516</v>
      </c>
      <c r="G7" s="31" t="str">
        <f aca="false">IF(F7&gt;69%, "GOOD", "POOR")</f>
        <v>POOR</v>
      </c>
      <c r="H7" s="32" t="n">
        <v>4.2</v>
      </c>
      <c r="I7" s="32" t="n">
        <v>310</v>
      </c>
      <c r="J7" s="32" t="str">
        <f aca="false" t="array" ref="J7:J7">_xlfn.IFS(I7&gt;299,"High HP",I7&gt;99,"Medium HP",I7&lt;100,"Low HP")</f>
        <v>High HP</v>
      </c>
      <c r="K7" s="32" t="s">
        <v>42</v>
      </c>
      <c r="L7" s="32" t="n">
        <v>21</v>
      </c>
      <c r="M7" s="32" t="n">
        <v>134.6568582</v>
      </c>
      <c r="N7" s="32" t="n">
        <v>23.7</v>
      </c>
      <c r="O7" s="32" t="n">
        <v>113</v>
      </c>
      <c r="P7" s="32" t="n">
        <v>74</v>
      </c>
      <c r="Q7" s="32" t="n">
        <v>198.2</v>
      </c>
      <c r="R7" s="32" t="n">
        <v>3.902</v>
      </c>
      <c r="S7" s="33" t="n">
        <v>40966</v>
      </c>
      <c r="W7" s="34"/>
    </row>
    <row r="8" customFormat="false" ht="16.15" hidden="true" customHeight="false" outlineLevel="0" collapsed="false">
      <c r="A8" s="27" t="s">
        <v>49</v>
      </c>
      <c r="B8" s="28" t="s">
        <v>50</v>
      </c>
      <c r="C8" s="29" t="n">
        <v>19747</v>
      </c>
      <c r="D8" s="30" t="n">
        <v>26990</v>
      </c>
      <c r="E8" s="30" t="n">
        <v>24500</v>
      </c>
      <c r="F8" s="31" t="n">
        <f aca="false">SUM(E8/D8)</f>
        <v>0.907743608743979</v>
      </c>
      <c r="G8" s="31" t="str">
        <f aca="false">IF(F8&gt;69%, "GOOD", "POOR")</f>
        <v>GOOD</v>
      </c>
      <c r="H8" s="32" t="n">
        <v>2.5</v>
      </c>
      <c r="I8" s="32" t="n">
        <v>170</v>
      </c>
      <c r="J8" s="32" t="str">
        <f aca="false" t="array" ref="J8:J8">_xlfn.IFS(I8&gt;299,"High HP",I8&gt;99,"Medium HP",I8&lt;100,"Low HP")</f>
        <v>Medium HP</v>
      </c>
      <c r="K8" s="32" t="s">
        <v>42</v>
      </c>
      <c r="L8" s="32" t="n">
        <v>26</v>
      </c>
      <c r="M8" s="32" t="n">
        <v>71.19120671</v>
      </c>
      <c r="N8" s="32" t="n">
        <v>16.6</v>
      </c>
      <c r="O8" s="32" t="n">
        <v>107.3</v>
      </c>
      <c r="P8" s="32" t="n">
        <v>68.4</v>
      </c>
      <c r="Q8" s="32" t="n">
        <v>176</v>
      </c>
      <c r="R8" s="32" t="n">
        <v>3.179</v>
      </c>
      <c r="S8" s="33" t="n">
        <v>40722</v>
      </c>
      <c r="W8" s="34"/>
    </row>
    <row r="9" customFormat="false" ht="16.15" hidden="true" customHeight="false" outlineLevel="0" collapsed="false">
      <c r="A9" s="27" t="s">
        <v>49</v>
      </c>
      <c r="B9" s="28" t="s">
        <v>51</v>
      </c>
      <c r="C9" s="29" t="n">
        <v>9231</v>
      </c>
      <c r="D9" s="30" t="n">
        <v>33400</v>
      </c>
      <c r="E9" s="30" t="n">
        <v>28675</v>
      </c>
      <c r="F9" s="31" t="n">
        <f aca="false">SUM(E9/D9)</f>
        <v>0.858532934131737</v>
      </c>
      <c r="G9" s="31" t="str">
        <f aca="false">IF(F9&gt;69%, "GOOD", "POOR")</f>
        <v>GOOD</v>
      </c>
      <c r="H9" s="32" t="n">
        <v>2.8</v>
      </c>
      <c r="I9" s="32" t="n">
        <v>193</v>
      </c>
      <c r="J9" s="32" t="str">
        <f aca="false" t="array" ref="J9:J9">_xlfn.IFS(I9&gt;299,"High HP",I9&gt;99,"Medium HP",I9&lt;100,"Low HP")</f>
        <v>Medium HP</v>
      </c>
      <c r="K9" s="32" t="s">
        <v>42</v>
      </c>
      <c r="L9" s="32" t="n">
        <v>24</v>
      </c>
      <c r="M9" s="32" t="n">
        <v>81.87706856</v>
      </c>
      <c r="N9" s="32" t="n">
        <v>16.6</v>
      </c>
      <c r="O9" s="32" t="n">
        <v>107.3</v>
      </c>
      <c r="P9" s="32" t="n">
        <v>68.5</v>
      </c>
      <c r="Q9" s="32" t="n">
        <v>176</v>
      </c>
      <c r="R9" s="32" t="n">
        <v>3.197</v>
      </c>
      <c r="S9" s="33" t="n">
        <v>40937</v>
      </c>
      <c r="W9" s="34"/>
    </row>
    <row r="10" customFormat="false" ht="16.15" hidden="true" customHeight="false" outlineLevel="0" collapsed="false">
      <c r="A10" s="27" t="s">
        <v>49</v>
      </c>
      <c r="B10" s="28" t="s">
        <v>52</v>
      </c>
      <c r="C10" s="29" t="n">
        <v>17527</v>
      </c>
      <c r="D10" s="30" t="n">
        <v>38900</v>
      </c>
      <c r="E10" s="30" t="n">
        <v>36125</v>
      </c>
      <c r="F10" s="31" t="n">
        <f aca="false">SUM(E10/D10)</f>
        <v>0.92866323907455</v>
      </c>
      <c r="G10" s="31" t="str">
        <f aca="false">IF(F10&gt;69%, "GOOD", "POOR")</f>
        <v>GOOD</v>
      </c>
      <c r="H10" s="32" t="n">
        <v>2.8</v>
      </c>
      <c r="I10" s="32" t="n">
        <v>193</v>
      </c>
      <c r="J10" s="32" t="str">
        <f aca="false" t="array" ref="J10:J10">_xlfn.IFS(I10&gt;299,"High HP",I10&gt;99,"Medium HP",I10&lt;100,"Low HP")</f>
        <v>Medium HP</v>
      </c>
      <c r="K10" s="32" t="s">
        <v>42</v>
      </c>
      <c r="L10" s="32" t="n">
        <v>25</v>
      </c>
      <c r="M10" s="32" t="n">
        <v>83.9987238</v>
      </c>
      <c r="N10" s="32" t="n">
        <v>18.5</v>
      </c>
      <c r="O10" s="32" t="n">
        <v>111.4</v>
      </c>
      <c r="P10" s="32" t="n">
        <v>70.9</v>
      </c>
      <c r="Q10" s="32" t="n">
        <v>188</v>
      </c>
      <c r="R10" s="32" t="n">
        <v>3.472</v>
      </c>
      <c r="S10" s="33" t="n">
        <v>40637</v>
      </c>
      <c r="W10" s="34"/>
    </row>
    <row r="11" customFormat="false" ht="16.15" hidden="true" customHeight="false" outlineLevel="0" collapsed="false">
      <c r="A11" s="27" t="s">
        <v>53</v>
      </c>
      <c r="B11" s="28" t="s">
        <v>54</v>
      </c>
      <c r="C11" s="29" t="n">
        <v>91561</v>
      </c>
      <c r="D11" s="30" t="n">
        <v>21975</v>
      </c>
      <c r="E11" s="30" t="n">
        <v>12475</v>
      </c>
      <c r="F11" s="31" t="n">
        <f aca="false">SUM(E11/D11)</f>
        <v>0.56769055745165</v>
      </c>
      <c r="G11" s="31" t="str">
        <f aca="false">IF(F11&gt;69%, "GOOD", "POOR")</f>
        <v>POOR</v>
      </c>
      <c r="H11" s="32" t="n">
        <v>3.1</v>
      </c>
      <c r="I11" s="32" t="n">
        <v>175</v>
      </c>
      <c r="J11" s="32" t="str">
        <f aca="false" t="array" ref="J11:J11">_xlfn.IFS(I11&gt;299,"High HP",I11&gt;99,"Medium HP",I11&lt;100,"Low HP")</f>
        <v>Medium HP</v>
      </c>
      <c r="K11" s="32" t="s">
        <v>42</v>
      </c>
      <c r="L11" s="32" t="n">
        <v>25</v>
      </c>
      <c r="M11" s="32" t="n">
        <v>71.18145132</v>
      </c>
      <c r="N11" s="32" t="n">
        <v>17.5</v>
      </c>
      <c r="O11" s="32" t="n">
        <v>109</v>
      </c>
      <c r="P11" s="32" t="n">
        <v>72.7</v>
      </c>
      <c r="Q11" s="32" t="n">
        <v>194.6</v>
      </c>
      <c r="R11" s="32" t="n">
        <v>3.368</v>
      </c>
      <c r="S11" s="33" t="n">
        <v>40849</v>
      </c>
      <c r="W11" s="34"/>
    </row>
    <row r="12" customFormat="false" ht="16.15" hidden="true" customHeight="false" outlineLevel="0" collapsed="false">
      <c r="A12" s="27" t="s">
        <v>53</v>
      </c>
      <c r="B12" s="28" t="s">
        <v>55</v>
      </c>
      <c r="C12" s="29" t="n">
        <v>39350</v>
      </c>
      <c r="D12" s="30" t="n">
        <v>25300</v>
      </c>
      <c r="E12" s="30" t="n">
        <v>13740</v>
      </c>
      <c r="F12" s="31" t="n">
        <f aca="false">SUM(E12/D12)</f>
        <v>0.543083003952569</v>
      </c>
      <c r="G12" s="31" t="str">
        <f aca="false">IF(F12&gt;69%, "GOOD", "POOR")</f>
        <v>POOR</v>
      </c>
      <c r="H12" s="32" t="n">
        <v>3.8</v>
      </c>
      <c r="I12" s="32" t="n">
        <v>240</v>
      </c>
      <c r="J12" s="32" t="str">
        <f aca="false" t="array" ref="J12:J12">_xlfn.IFS(I12&gt;299,"High HP",I12&gt;99,"Medium HP",I12&lt;100,"Low HP")</f>
        <v>Medium HP</v>
      </c>
      <c r="K12" s="32" t="s">
        <v>42</v>
      </c>
      <c r="L12" s="32" t="n">
        <v>23</v>
      </c>
      <c r="M12" s="32" t="n">
        <v>95.63670253</v>
      </c>
      <c r="N12" s="32" t="n">
        <v>17.5</v>
      </c>
      <c r="O12" s="32" t="n">
        <v>109</v>
      </c>
      <c r="P12" s="32" t="n">
        <v>72.7</v>
      </c>
      <c r="Q12" s="32" t="n">
        <v>196.2</v>
      </c>
      <c r="R12" s="32" t="n">
        <v>3.543</v>
      </c>
      <c r="S12" s="33" t="n">
        <v>40789</v>
      </c>
      <c r="W12" s="34"/>
    </row>
    <row r="13" customFormat="false" ht="16.15" hidden="true" customHeight="false" outlineLevel="0" collapsed="false">
      <c r="A13" s="27" t="s">
        <v>53</v>
      </c>
      <c r="B13" s="28" t="s">
        <v>56</v>
      </c>
      <c r="C13" s="29" t="n">
        <v>27851</v>
      </c>
      <c r="D13" s="30" t="n">
        <v>31965</v>
      </c>
      <c r="E13" s="30" t="n">
        <v>20190</v>
      </c>
      <c r="F13" s="31" t="n">
        <f aca="false">SUM(E13/D13)</f>
        <v>0.631628343500704</v>
      </c>
      <c r="G13" s="31" t="str">
        <f aca="false">IF(F13&gt;69%, "GOOD", "POOR")</f>
        <v>POOR</v>
      </c>
      <c r="H13" s="32" t="n">
        <v>3.8</v>
      </c>
      <c r="I13" s="32" t="n">
        <v>205</v>
      </c>
      <c r="J13" s="32" t="str">
        <f aca="false" t="array" ref="J13:J13">_xlfn.IFS(I13&gt;299,"High HP",I13&gt;99,"Medium HP",I13&lt;100,"Low HP")</f>
        <v>Medium HP</v>
      </c>
      <c r="K13" s="32" t="s">
        <v>42</v>
      </c>
      <c r="L13" s="32" t="n">
        <v>24</v>
      </c>
      <c r="M13" s="32" t="n">
        <v>85.82840825</v>
      </c>
      <c r="N13" s="32" t="n">
        <v>18.5</v>
      </c>
      <c r="O13" s="32" t="n">
        <v>113.8</v>
      </c>
      <c r="P13" s="32" t="n">
        <v>74.7</v>
      </c>
      <c r="Q13" s="32" t="n">
        <v>206.8</v>
      </c>
      <c r="R13" s="32" t="n">
        <v>3.778</v>
      </c>
      <c r="S13" s="33" t="n">
        <v>40991</v>
      </c>
      <c r="W13" s="34"/>
    </row>
    <row r="14" customFormat="false" ht="16.15" hidden="true" customHeight="false" outlineLevel="0" collapsed="false">
      <c r="A14" s="27" t="s">
        <v>53</v>
      </c>
      <c r="B14" s="28" t="s">
        <v>57</v>
      </c>
      <c r="C14" s="29" t="n">
        <v>83257</v>
      </c>
      <c r="D14" s="30" t="n">
        <v>27885</v>
      </c>
      <c r="E14" s="30" t="n">
        <v>13360</v>
      </c>
      <c r="F14" s="31" t="n">
        <f aca="false">SUM(E14/D14)</f>
        <v>0.479110632956787</v>
      </c>
      <c r="G14" s="31" t="str">
        <f aca="false">IF(F14&gt;69%, "GOOD", "POOR")</f>
        <v>POOR</v>
      </c>
      <c r="H14" s="32" t="n">
        <v>3.8</v>
      </c>
      <c r="I14" s="32" t="n">
        <v>205</v>
      </c>
      <c r="J14" s="32" t="str">
        <f aca="false" t="array" ref="J14:J14">_xlfn.IFS(I14&gt;299,"High HP",I14&gt;99,"Medium HP",I14&lt;100,"Low HP")</f>
        <v>Medium HP</v>
      </c>
      <c r="K14" s="32" t="s">
        <v>42</v>
      </c>
      <c r="L14" s="32" t="n">
        <v>25</v>
      </c>
      <c r="M14" s="32" t="n">
        <v>84.25452581</v>
      </c>
      <c r="N14" s="32" t="n">
        <v>17.5</v>
      </c>
      <c r="O14" s="32" t="n">
        <v>112.2</v>
      </c>
      <c r="P14" s="32" t="n">
        <v>73.5</v>
      </c>
      <c r="Q14" s="32" t="n">
        <v>200</v>
      </c>
      <c r="R14" s="32" t="n">
        <v>3.591</v>
      </c>
      <c r="S14" s="33" t="n">
        <v>40747</v>
      </c>
    </row>
    <row r="15" customFormat="false" ht="16.15" hidden="true" customHeight="false" outlineLevel="0" collapsed="false">
      <c r="A15" s="27" t="s">
        <v>58</v>
      </c>
      <c r="B15" s="28" t="s">
        <v>59</v>
      </c>
      <c r="C15" s="29" t="n">
        <v>63729</v>
      </c>
      <c r="D15" s="30" t="n">
        <v>39895</v>
      </c>
      <c r="E15" s="30" t="n">
        <v>22525</v>
      </c>
      <c r="F15" s="31" t="n">
        <f aca="false">SUM(E15/D15)</f>
        <v>0.564607093620755</v>
      </c>
      <c r="G15" s="31" t="str">
        <f aca="false">IF(F15&gt;69%, "GOOD", "POOR")</f>
        <v>POOR</v>
      </c>
      <c r="H15" s="32" t="n">
        <v>4.6</v>
      </c>
      <c r="I15" s="32" t="n">
        <v>275</v>
      </c>
      <c r="J15" s="32" t="str">
        <f aca="false" t="array" ref="J15:J15">_xlfn.IFS(I15&gt;299,"High HP",I15&gt;99,"Medium HP",I15&lt;100,"Low HP")</f>
        <v>Medium HP</v>
      </c>
      <c r="K15" s="32" t="s">
        <v>42</v>
      </c>
      <c r="L15" s="32" t="n">
        <v>22</v>
      </c>
      <c r="M15" s="32" t="n">
        <v>113.8545976</v>
      </c>
      <c r="N15" s="32" t="n">
        <v>18.5</v>
      </c>
      <c r="O15" s="32" t="n">
        <v>115.3</v>
      </c>
      <c r="P15" s="32" t="n">
        <v>74.5</v>
      </c>
      <c r="Q15" s="32" t="n">
        <v>207.2</v>
      </c>
      <c r="R15" s="32" t="n">
        <v>3.978</v>
      </c>
      <c r="S15" s="33" t="n">
        <v>40962</v>
      </c>
    </row>
    <row r="16" customFormat="false" ht="16.15" hidden="true" customHeight="false" outlineLevel="0" collapsed="false">
      <c r="A16" s="27" t="s">
        <v>58</v>
      </c>
      <c r="B16" s="28" t="s">
        <v>60</v>
      </c>
      <c r="C16" s="29" t="n">
        <v>15943</v>
      </c>
      <c r="D16" s="30" t="n">
        <v>44475</v>
      </c>
      <c r="E16" s="30" t="n">
        <v>27100</v>
      </c>
      <c r="F16" s="31" t="n">
        <f aca="false">SUM(E16/D16)</f>
        <v>0.609331084879146</v>
      </c>
      <c r="G16" s="31" t="str">
        <f aca="false">IF(F16&gt;69%, "GOOD", "POOR")</f>
        <v>POOR</v>
      </c>
      <c r="H16" s="32" t="n">
        <v>4.6</v>
      </c>
      <c r="I16" s="32" t="n">
        <v>275</v>
      </c>
      <c r="J16" s="32" t="str">
        <f aca="false" t="array" ref="J16:J16">_xlfn.IFS(I16&gt;299,"High HP",I16&gt;99,"Medium HP",I16&lt;100,"Low HP")</f>
        <v>Medium HP</v>
      </c>
      <c r="K16" s="32" t="s">
        <v>42</v>
      </c>
      <c r="L16" s="32" t="n">
        <v>22</v>
      </c>
      <c r="M16" s="32" t="n">
        <v>115.6213578</v>
      </c>
      <c r="N16" s="32" t="n">
        <v>18.5</v>
      </c>
      <c r="O16" s="32" t="n">
        <v>112.2</v>
      </c>
      <c r="P16" s="32" t="n">
        <v>75</v>
      </c>
      <c r="Q16" s="32" t="n">
        <v>201</v>
      </c>
      <c r="R16" s="32" t="n">
        <v>3.875</v>
      </c>
      <c r="S16" s="33" t="n">
        <v>40662</v>
      </c>
      <c r="V16" s="34"/>
    </row>
    <row r="17" customFormat="false" ht="16.15" hidden="true" customHeight="false" outlineLevel="0" collapsed="false">
      <c r="A17" s="27" t="s">
        <v>58</v>
      </c>
      <c r="B17" s="28" t="s">
        <v>61</v>
      </c>
      <c r="C17" s="29" t="n">
        <v>6536</v>
      </c>
      <c r="D17" s="30" t="n">
        <v>39665</v>
      </c>
      <c r="E17" s="30" t="n">
        <v>25725</v>
      </c>
      <c r="F17" s="31" t="n">
        <f aca="false">SUM(E17/D17)</f>
        <v>0.648556662044624</v>
      </c>
      <c r="G17" s="31" t="str">
        <f aca="false">IF(F17&gt;69%, "GOOD", "POOR")</f>
        <v>POOR</v>
      </c>
      <c r="H17" s="32" t="n">
        <v>4.6</v>
      </c>
      <c r="I17" s="32" t="n">
        <v>275</v>
      </c>
      <c r="J17" s="32" t="str">
        <f aca="false" t="array" ref="J17:J17">_xlfn.IFS(I17&gt;299,"High HP",I17&gt;99,"Medium HP",I17&lt;100,"Low HP")</f>
        <v>Medium HP</v>
      </c>
      <c r="K17" s="32" t="s">
        <v>42</v>
      </c>
      <c r="L17" s="32" t="n">
        <v>22</v>
      </c>
      <c r="M17" s="32" t="n">
        <v>113.7658739</v>
      </c>
      <c r="N17" s="32" t="n">
        <v>19</v>
      </c>
      <c r="O17" s="32" t="n">
        <v>108</v>
      </c>
      <c r="P17" s="32" t="n">
        <v>75.5</v>
      </c>
      <c r="Q17" s="32" t="n">
        <v>200.6</v>
      </c>
      <c r="R17" s="32" t="n">
        <v>3.843</v>
      </c>
      <c r="S17" s="33" t="n">
        <v>40874</v>
      </c>
    </row>
    <row r="18" customFormat="false" ht="16.15" hidden="true" customHeight="false" outlineLevel="0" collapsed="false">
      <c r="A18" s="27" t="s">
        <v>58</v>
      </c>
      <c r="B18" s="28" t="s">
        <v>62</v>
      </c>
      <c r="C18" s="29" t="n">
        <v>11185</v>
      </c>
      <c r="D18" s="30" t="n">
        <v>31010</v>
      </c>
      <c r="E18" s="30" t="n">
        <v>18225</v>
      </c>
      <c r="F18" s="31" t="n">
        <f aca="false">SUM(E18/D18)</f>
        <v>0.587713640761045</v>
      </c>
      <c r="G18" s="31" t="str">
        <f aca="false">IF(F18&gt;69%, "GOOD", "POOR")</f>
        <v>POOR</v>
      </c>
      <c r="H18" s="32" t="n">
        <v>3</v>
      </c>
      <c r="I18" s="32" t="n">
        <v>200</v>
      </c>
      <c r="J18" s="32" t="str">
        <f aca="false" t="array" ref="J18:J18">_xlfn.IFS(I18&gt;299,"High HP",I18&gt;99,"Medium HP",I18&lt;100,"Low HP")</f>
        <v>Medium HP</v>
      </c>
      <c r="K18" s="32" t="s">
        <v>42</v>
      </c>
      <c r="L18" s="32" t="n">
        <v>22</v>
      </c>
      <c r="M18" s="32" t="n">
        <v>83.48309358</v>
      </c>
      <c r="N18" s="32" t="n">
        <v>18</v>
      </c>
      <c r="O18" s="32" t="n">
        <v>107.4</v>
      </c>
      <c r="P18" s="32" t="n">
        <v>70.3</v>
      </c>
      <c r="Q18" s="32" t="n">
        <v>194.8</v>
      </c>
      <c r="R18" s="32" t="n">
        <v>3.77</v>
      </c>
      <c r="S18" s="33" t="n">
        <v>40814</v>
      </c>
    </row>
    <row r="19" customFormat="false" ht="16.15" hidden="true" customHeight="false" outlineLevel="0" collapsed="false">
      <c r="A19" s="27" t="s">
        <v>58</v>
      </c>
      <c r="B19" s="28" t="s">
        <v>63</v>
      </c>
      <c r="C19" s="29" t="n">
        <v>14785</v>
      </c>
      <c r="D19" s="30" t="n">
        <v>46225</v>
      </c>
      <c r="E19" s="30" t="n">
        <v>31245</v>
      </c>
      <c r="F19" s="31" t="n">
        <f aca="false">SUM(E19/D19)</f>
        <v>0.675932936722553</v>
      </c>
      <c r="G19" s="31" t="str">
        <f aca="false">IF(F19&gt;69%, "GOOD", "POOR")</f>
        <v>POOR</v>
      </c>
      <c r="H19" s="32" t="n">
        <v>5.7</v>
      </c>
      <c r="I19" s="32" t="n">
        <v>255</v>
      </c>
      <c r="J19" s="32" t="str">
        <f aca="false" t="array" ref="J19:J19">_xlfn.IFS(I19&gt;299,"High HP",I19&gt;99,"Medium HP",I19&lt;100,"Low HP")</f>
        <v>Medium HP</v>
      </c>
      <c r="K19" s="32" t="s">
        <v>64</v>
      </c>
      <c r="L19" s="32" t="n">
        <v>15</v>
      </c>
      <c r="M19" s="32" t="n">
        <v>109.5091165</v>
      </c>
      <c r="N19" s="32" t="n">
        <v>30</v>
      </c>
      <c r="O19" s="32" t="n">
        <v>117.5</v>
      </c>
      <c r="P19" s="32" t="n">
        <v>77</v>
      </c>
      <c r="Q19" s="32" t="n">
        <v>201.2</v>
      </c>
      <c r="R19" s="32" t="n">
        <v>5.572</v>
      </c>
      <c r="S19" s="33" t="n">
        <v>41016</v>
      </c>
    </row>
    <row r="20" customFormat="false" ht="16.15" hidden="true" customHeight="false" outlineLevel="0" collapsed="false">
      <c r="A20" s="27" t="s">
        <v>65</v>
      </c>
      <c r="B20" s="28" t="s">
        <v>66</v>
      </c>
      <c r="C20" s="29" t="n">
        <v>145519</v>
      </c>
      <c r="D20" s="30" t="n">
        <v>13260</v>
      </c>
      <c r="E20" s="30" t="n">
        <v>9250</v>
      </c>
      <c r="F20" s="31" t="n">
        <f aca="false">SUM(E20/D20)</f>
        <v>0.697586726998492</v>
      </c>
      <c r="G20" s="31" t="str">
        <f aca="false">IF(F20&gt;69%, "GOOD", "POOR")</f>
        <v>GOOD</v>
      </c>
      <c r="H20" s="32" t="n">
        <v>2.2</v>
      </c>
      <c r="I20" s="32" t="n">
        <v>115</v>
      </c>
      <c r="J20" s="32" t="str">
        <f aca="false" t="array" ref="J20:J20">_xlfn.IFS(I20&gt;299,"High HP",I20&gt;99,"Medium HP",I20&lt;100,"Low HP")</f>
        <v>Medium HP</v>
      </c>
      <c r="K20" s="32" t="s">
        <v>42</v>
      </c>
      <c r="L20" s="32" t="n">
        <v>27</v>
      </c>
      <c r="M20" s="32" t="n">
        <v>46.36334747</v>
      </c>
      <c r="N20" s="32" t="n">
        <v>14.3</v>
      </c>
      <c r="O20" s="32" t="n">
        <v>104.1</v>
      </c>
      <c r="P20" s="32" t="n">
        <v>67.9</v>
      </c>
      <c r="Q20" s="32" t="n">
        <v>180.9</v>
      </c>
      <c r="R20" s="32" t="n">
        <v>2.676</v>
      </c>
      <c r="S20" s="33" t="n">
        <v>40772</v>
      </c>
    </row>
    <row r="21" customFormat="false" ht="16.15" hidden="true" customHeight="false" outlineLevel="0" collapsed="false">
      <c r="A21" s="27" t="s">
        <v>65</v>
      </c>
      <c r="B21" s="28" t="s">
        <v>67</v>
      </c>
      <c r="C21" s="29" t="n">
        <v>135126</v>
      </c>
      <c r="D21" s="30" t="n">
        <v>16535</v>
      </c>
      <c r="E21" s="30" t="n">
        <v>11225</v>
      </c>
      <c r="F21" s="31" t="n">
        <f aca="false">SUM(E21/D21)</f>
        <v>0.678863017840944</v>
      </c>
      <c r="G21" s="31" t="str">
        <f aca="false">IF(F21&gt;69%, "GOOD", "POOR")</f>
        <v>POOR</v>
      </c>
      <c r="H21" s="32" t="n">
        <v>3.1</v>
      </c>
      <c r="I21" s="32" t="n">
        <v>170</v>
      </c>
      <c r="J21" s="32" t="str">
        <f aca="false" t="array" ref="J21:J21">_xlfn.IFS(I21&gt;299,"High HP",I21&gt;99,"Medium HP",I21&lt;100,"Low HP")</f>
        <v>Medium HP</v>
      </c>
      <c r="K21" s="32" t="s">
        <v>42</v>
      </c>
      <c r="L21" s="32" t="n">
        <v>25</v>
      </c>
      <c r="M21" s="32" t="n">
        <v>67.31446216</v>
      </c>
      <c r="N21" s="32" t="n">
        <v>15</v>
      </c>
      <c r="O21" s="32" t="n">
        <v>107</v>
      </c>
      <c r="P21" s="32" t="n">
        <v>69.4</v>
      </c>
      <c r="Q21" s="32" t="n">
        <v>190.4</v>
      </c>
      <c r="R21" s="32" t="n">
        <v>3.051</v>
      </c>
      <c r="S21" s="33" t="n">
        <v>40987</v>
      </c>
      <c r="V21" s="26"/>
      <c r="W21" s="26"/>
      <c r="X21" s="35"/>
      <c r="Y21" s="35"/>
      <c r="Z21" s="35"/>
    </row>
    <row r="22" customFormat="false" ht="16.15" hidden="true" customHeight="false" outlineLevel="0" collapsed="false">
      <c r="A22" s="27" t="s">
        <v>65</v>
      </c>
      <c r="B22" s="28" t="s">
        <v>68</v>
      </c>
      <c r="C22" s="29" t="n">
        <v>24629</v>
      </c>
      <c r="D22" s="30" t="n">
        <v>18890</v>
      </c>
      <c r="E22" s="30" t="n">
        <v>10310</v>
      </c>
      <c r="F22" s="31" t="n">
        <f aca="false">SUM(E22/D22)</f>
        <v>0.54579142403388</v>
      </c>
      <c r="G22" s="31" t="str">
        <f aca="false">IF(F22&gt;69%, "GOOD", "POOR")</f>
        <v>POOR</v>
      </c>
      <c r="H22" s="32" t="n">
        <v>3.1</v>
      </c>
      <c r="I22" s="32" t="n">
        <v>175</v>
      </c>
      <c r="J22" s="32" t="str">
        <f aca="false" t="array" ref="J22:J22">_xlfn.IFS(I22&gt;299,"High HP",I22&gt;99,"Medium HP",I22&lt;100,"Low HP")</f>
        <v>Medium HP</v>
      </c>
      <c r="K22" s="32" t="s">
        <v>42</v>
      </c>
      <c r="L22" s="32" t="n">
        <v>25</v>
      </c>
      <c r="M22" s="32" t="n">
        <v>69.9913956</v>
      </c>
      <c r="N22" s="32" t="n">
        <v>16.6</v>
      </c>
      <c r="O22" s="32" t="n">
        <v>107.5</v>
      </c>
      <c r="P22" s="32" t="n">
        <v>72.5</v>
      </c>
      <c r="Q22" s="32" t="n">
        <v>200.9</v>
      </c>
      <c r="R22" s="32" t="n">
        <v>3.33</v>
      </c>
      <c r="S22" s="33" t="n">
        <v>40687</v>
      </c>
      <c r="X22" s="36"/>
      <c r="Y22" s="36"/>
      <c r="Z22" s="36"/>
    </row>
    <row r="23" customFormat="false" ht="16.15" hidden="true" customHeight="false" outlineLevel="0" collapsed="false">
      <c r="A23" s="27" t="s">
        <v>65</v>
      </c>
      <c r="B23" s="28" t="s">
        <v>69</v>
      </c>
      <c r="C23" s="29" t="n">
        <v>42593</v>
      </c>
      <c r="D23" s="30" t="n">
        <v>19390</v>
      </c>
      <c r="E23" s="30" t="n">
        <v>11525</v>
      </c>
      <c r="F23" s="31" t="n">
        <f aca="false">SUM(E23/D23)</f>
        <v>0.594378545642084</v>
      </c>
      <c r="G23" s="31" t="str">
        <f aca="false">IF(F23&gt;69%, "GOOD", "POOR")</f>
        <v>POOR</v>
      </c>
      <c r="H23" s="32" t="n">
        <v>3.4</v>
      </c>
      <c r="I23" s="32" t="n">
        <v>180</v>
      </c>
      <c r="J23" s="32" t="str">
        <f aca="false" t="array" ref="J23:J23">_xlfn.IFS(I23&gt;299,"High HP",I23&gt;99,"Medium HP",I23&lt;100,"Low HP")</f>
        <v>Medium HP</v>
      </c>
      <c r="K23" s="32" t="s">
        <v>42</v>
      </c>
      <c r="L23" s="32" t="n">
        <v>27</v>
      </c>
      <c r="M23" s="32" t="n">
        <v>72.03091719</v>
      </c>
      <c r="N23" s="32" t="n">
        <v>17</v>
      </c>
      <c r="O23" s="32" t="n">
        <v>110.5</v>
      </c>
      <c r="P23" s="32" t="n">
        <v>72.7</v>
      </c>
      <c r="Q23" s="32" t="n">
        <v>197.9</v>
      </c>
      <c r="R23" s="32" t="n">
        <v>3.34</v>
      </c>
      <c r="S23" s="33" t="n">
        <v>40899</v>
      </c>
    </row>
    <row r="24" customFormat="false" ht="16.15" hidden="true" customHeight="false" outlineLevel="0" collapsed="false">
      <c r="A24" s="27" t="s">
        <v>65</v>
      </c>
      <c r="B24" s="28" t="s">
        <v>70</v>
      </c>
      <c r="C24" s="29" t="n">
        <v>26402</v>
      </c>
      <c r="D24" s="30" t="n">
        <v>24340</v>
      </c>
      <c r="E24" s="30" t="n">
        <v>13025</v>
      </c>
      <c r="F24" s="31" t="n">
        <f aca="false">SUM(E24/D24)</f>
        <v>0.535127362366475</v>
      </c>
      <c r="G24" s="31" t="str">
        <f aca="false">IF(F24&gt;69%, "GOOD", "POOR")</f>
        <v>POOR</v>
      </c>
      <c r="H24" s="32" t="n">
        <v>3.8</v>
      </c>
      <c r="I24" s="32" t="n">
        <v>200</v>
      </c>
      <c r="J24" s="32" t="str">
        <f aca="false" t="array" ref="J24:J24">_xlfn.IFS(I24&gt;299,"High HP",I24&gt;99,"Medium HP",I24&lt;100,"Low HP")</f>
        <v>Medium HP</v>
      </c>
      <c r="K24" s="32" t="s">
        <v>42</v>
      </c>
      <c r="L24" s="32" t="n">
        <v>25</v>
      </c>
      <c r="M24" s="32" t="n">
        <v>81.11854333</v>
      </c>
      <c r="N24" s="32" t="n">
        <v>16.8</v>
      </c>
      <c r="O24" s="32" t="n">
        <v>101.1</v>
      </c>
      <c r="P24" s="32" t="n">
        <v>74.1</v>
      </c>
      <c r="Q24" s="32" t="n">
        <v>193.2</v>
      </c>
      <c r="R24" s="32" t="n">
        <v>3.5</v>
      </c>
      <c r="S24" s="33" t="n">
        <v>40839</v>
      </c>
    </row>
    <row r="25" customFormat="false" ht="16.15" hidden="true" customHeight="false" outlineLevel="0" collapsed="false">
      <c r="A25" s="27" t="s">
        <v>65</v>
      </c>
      <c r="B25" s="28" t="s">
        <v>71</v>
      </c>
      <c r="C25" s="29" t="n">
        <v>17947</v>
      </c>
      <c r="D25" s="30" t="n">
        <v>55705</v>
      </c>
      <c r="E25" s="30" t="n">
        <v>36225</v>
      </c>
      <c r="F25" s="31" t="n">
        <f aca="false">SUM(E25/D25)</f>
        <v>0.650300691140831</v>
      </c>
      <c r="G25" s="31" t="str">
        <f aca="false">IF(F25&gt;69%, "GOOD", "POOR")</f>
        <v>POOR</v>
      </c>
      <c r="H25" s="32" t="n">
        <v>5.7</v>
      </c>
      <c r="I25" s="32" t="n">
        <v>345</v>
      </c>
      <c r="J25" s="32" t="str">
        <f aca="false" t="array" ref="J25:J25">_xlfn.IFS(I25&gt;299,"High HP",I25&gt;99,"Medium HP",I25&lt;100,"Low HP")</f>
        <v>High HP</v>
      </c>
      <c r="K25" s="32" t="s">
        <v>42</v>
      </c>
      <c r="L25" s="32" t="n">
        <v>22</v>
      </c>
      <c r="M25" s="32" t="n">
        <v>141.14115</v>
      </c>
      <c r="N25" s="32" t="n">
        <v>19.1</v>
      </c>
      <c r="O25" s="32" t="n">
        <v>104.5</v>
      </c>
      <c r="P25" s="32" t="n">
        <v>73.6</v>
      </c>
      <c r="Q25" s="32" t="n">
        <v>179.7</v>
      </c>
      <c r="R25" s="32" t="n">
        <v>3.21</v>
      </c>
      <c r="S25" s="33" t="n">
        <v>41041</v>
      </c>
    </row>
    <row r="26" customFormat="false" ht="16.15" hidden="true" customHeight="false" outlineLevel="0" collapsed="false">
      <c r="A26" s="27" t="s">
        <v>65</v>
      </c>
      <c r="B26" s="28" t="s">
        <v>72</v>
      </c>
      <c r="C26" s="29" t="n">
        <v>32299</v>
      </c>
      <c r="D26" s="30" t="n">
        <v>13960</v>
      </c>
      <c r="E26" s="30" t="n">
        <v>9125</v>
      </c>
      <c r="F26" s="31" t="n">
        <f aca="false">SUM(E26/D26)</f>
        <v>0.65365329512894</v>
      </c>
      <c r="G26" s="31" t="str">
        <f aca="false">IF(F26&gt;69%, "GOOD", "POOR")</f>
        <v>POOR</v>
      </c>
      <c r="H26" s="32" t="n">
        <v>1.8</v>
      </c>
      <c r="I26" s="32" t="n">
        <v>120</v>
      </c>
      <c r="J26" s="32" t="str">
        <f aca="false" t="array" ref="J26:J26">_xlfn.IFS(I26&gt;299,"High HP",I26&gt;99,"Medium HP",I26&lt;100,"Low HP")</f>
        <v>Medium HP</v>
      </c>
      <c r="K26" s="32" t="s">
        <v>42</v>
      </c>
      <c r="L26" s="32" t="n">
        <v>33</v>
      </c>
      <c r="M26" s="32" t="n">
        <v>48.2976361</v>
      </c>
      <c r="N26" s="32" t="n">
        <v>13.2</v>
      </c>
      <c r="O26" s="32" t="n">
        <v>97.1</v>
      </c>
      <c r="P26" s="32" t="n">
        <v>66.7</v>
      </c>
      <c r="Q26" s="32" t="n">
        <v>174.3</v>
      </c>
      <c r="R26" s="32" t="n">
        <v>2.398</v>
      </c>
      <c r="S26" s="33" t="n">
        <v>40797</v>
      </c>
    </row>
    <row r="27" customFormat="false" ht="16.15" hidden="true" customHeight="false" outlineLevel="0" collapsed="false">
      <c r="A27" s="27" t="s">
        <v>65</v>
      </c>
      <c r="B27" s="28" t="s">
        <v>73</v>
      </c>
      <c r="C27" s="29" t="n">
        <v>21855</v>
      </c>
      <c r="D27" s="30" t="n">
        <v>9235</v>
      </c>
      <c r="E27" s="30" t="n">
        <v>5160</v>
      </c>
      <c r="F27" s="31" t="n">
        <f aca="false">SUM(E27/D27)</f>
        <v>0.558743909041689</v>
      </c>
      <c r="G27" s="31" t="str">
        <f aca="false">IF(F27&gt;69%, "GOOD", "POOR")</f>
        <v>POOR</v>
      </c>
      <c r="H27" s="32" t="n">
        <v>1</v>
      </c>
      <c r="I27" s="32" t="n">
        <v>55</v>
      </c>
      <c r="J27" s="32" t="str">
        <f aca="false" t="array" ref="J27:J27">_xlfn.IFS(I27&gt;299,"High HP",I27&gt;99,"Medium HP",I27&lt;100,"Low HP")</f>
        <v>Low HP</v>
      </c>
      <c r="K27" s="32" t="s">
        <v>42</v>
      </c>
      <c r="L27" s="32" t="n">
        <v>45</v>
      </c>
      <c r="M27" s="32" t="n">
        <v>23.27627233</v>
      </c>
      <c r="N27" s="32" t="n">
        <v>10.3</v>
      </c>
      <c r="O27" s="32" t="n">
        <v>93.1</v>
      </c>
      <c r="P27" s="32" t="n">
        <v>62.6</v>
      </c>
      <c r="Q27" s="32" t="n">
        <v>149.4</v>
      </c>
      <c r="R27" s="32" t="n">
        <v>1.895</v>
      </c>
      <c r="S27" s="33" t="n">
        <v>41012</v>
      </c>
    </row>
    <row r="28" customFormat="false" ht="16.15" hidden="true" customHeight="false" outlineLevel="0" collapsed="false">
      <c r="A28" s="27" t="s">
        <v>65</v>
      </c>
      <c r="B28" s="28" t="s">
        <v>74</v>
      </c>
      <c r="C28" s="29" t="n">
        <v>107995</v>
      </c>
      <c r="D28" s="30" t="n">
        <v>18890</v>
      </c>
      <c r="E28" s="30" t="n">
        <v>11550</v>
      </c>
      <c r="F28" s="31" t="n">
        <f aca="false">SUM(E28/D28)</f>
        <v>0.611434621492853</v>
      </c>
      <c r="G28" s="31" t="str">
        <f aca="false">IF(F28&gt;69%, "GOOD", "POOR")</f>
        <v>POOR</v>
      </c>
      <c r="H28" s="32" t="n">
        <v>3.4</v>
      </c>
      <c r="I28" s="32" t="n">
        <v>180</v>
      </c>
      <c r="J28" s="32" t="str">
        <f aca="false" t="array" ref="J28:J28">_xlfn.IFS(I28&gt;299,"High HP",I28&gt;99,"Medium HP",I28&lt;100,"Low HP")</f>
        <v>Medium HP</v>
      </c>
      <c r="K28" s="32" t="s">
        <v>42</v>
      </c>
      <c r="L28" s="32" t="n">
        <v>27</v>
      </c>
      <c r="M28" s="32" t="n">
        <v>71.83803944</v>
      </c>
      <c r="N28" s="32" t="n">
        <v>17</v>
      </c>
      <c r="O28" s="32" t="n">
        <v>110.5</v>
      </c>
      <c r="P28" s="32" t="n">
        <v>73</v>
      </c>
      <c r="Q28" s="32" t="n">
        <v>200</v>
      </c>
      <c r="R28" s="32" t="n">
        <v>3.389</v>
      </c>
      <c r="S28" s="33" t="n">
        <v>40712</v>
      </c>
    </row>
    <row r="29" customFormat="false" ht="16.15" hidden="true" customHeight="false" outlineLevel="0" collapsed="false">
      <c r="A29" s="27" t="s">
        <v>75</v>
      </c>
      <c r="B29" s="28" t="s">
        <v>76</v>
      </c>
      <c r="C29" s="29" t="n">
        <v>7854</v>
      </c>
      <c r="D29" s="30" t="n">
        <v>19840</v>
      </c>
      <c r="E29" s="30" t="n">
        <v>12360</v>
      </c>
      <c r="F29" s="31" t="n">
        <f aca="false">SUM(E29/D29)</f>
        <v>0.622983870967742</v>
      </c>
      <c r="G29" s="31" t="str">
        <f aca="false">IF(F29&gt;69%, "GOOD", "POOR")</f>
        <v>POOR</v>
      </c>
      <c r="H29" s="32" t="n">
        <v>2.5</v>
      </c>
      <c r="I29" s="32" t="n">
        <v>163</v>
      </c>
      <c r="J29" s="32" t="str">
        <f aca="false" t="array" ref="J29:J29">_xlfn.IFS(I29&gt;299,"High HP",I29&gt;99,"Medium HP",I29&lt;100,"Low HP")</f>
        <v>Medium HP</v>
      </c>
      <c r="K29" s="32" t="s">
        <v>42</v>
      </c>
      <c r="L29" s="32" t="n">
        <v>24</v>
      </c>
      <c r="M29" s="32" t="n">
        <v>65.95718396</v>
      </c>
      <c r="N29" s="32" t="n">
        <v>15.9</v>
      </c>
      <c r="O29" s="32" t="n">
        <v>103.7</v>
      </c>
      <c r="P29" s="32" t="n">
        <v>69.7</v>
      </c>
      <c r="Q29" s="32" t="n">
        <v>190.9</v>
      </c>
      <c r="R29" s="32" t="n">
        <v>2.967</v>
      </c>
      <c r="S29" s="33" t="n">
        <v>40924</v>
      </c>
    </row>
    <row r="30" customFormat="false" ht="16.15" hidden="true" customHeight="false" outlineLevel="0" collapsed="false">
      <c r="A30" s="27" t="s">
        <v>75</v>
      </c>
      <c r="B30" s="28" t="s">
        <v>77</v>
      </c>
      <c r="C30" s="29" t="n">
        <v>32775</v>
      </c>
      <c r="D30" s="30" t="n">
        <v>24495</v>
      </c>
      <c r="E30" s="30" t="n">
        <v>14180</v>
      </c>
      <c r="F30" s="31" t="n">
        <f aca="false">SUM(E30/D30)</f>
        <v>0.578893651765666</v>
      </c>
      <c r="G30" s="31" t="str">
        <f aca="false">IF(F30&gt;69%, "GOOD", "POOR")</f>
        <v>POOR</v>
      </c>
      <c r="H30" s="32" t="n">
        <v>2.5</v>
      </c>
      <c r="I30" s="32" t="n">
        <v>168</v>
      </c>
      <c r="J30" s="32" t="str">
        <f aca="false" t="array" ref="J30:J30">_xlfn.IFS(I30&gt;299,"High HP",I30&gt;99,"Medium HP",I30&lt;100,"Low HP")</f>
        <v>Medium HP</v>
      </c>
      <c r="K30" s="32" t="s">
        <v>42</v>
      </c>
      <c r="L30" s="32" t="n">
        <v>24</v>
      </c>
      <c r="M30" s="32" t="n">
        <v>69.52135505</v>
      </c>
      <c r="N30" s="32" t="n">
        <v>16</v>
      </c>
      <c r="O30" s="32" t="n">
        <v>106</v>
      </c>
      <c r="P30" s="32" t="n">
        <v>69.2</v>
      </c>
      <c r="Q30" s="32" t="n">
        <v>193</v>
      </c>
      <c r="R30" s="32" t="n">
        <v>3.332</v>
      </c>
      <c r="S30" s="33" t="n">
        <v>40864</v>
      </c>
    </row>
    <row r="31" customFormat="false" ht="16.15" hidden="true" customHeight="false" outlineLevel="0" collapsed="false">
      <c r="A31" s="27" t="s">
        <v>75</v>
      </c>
      <c r="B31" s="28" t="s">
        <v>78</v>
      </c>
      <c r="C31" s="29" t="n">
        <v>31148</v>
      </c>
      <c r="D31" s="30" t="n">
        <v>22245</v>
      </c>
      <c r="E31" s="30" t="n">
        <v>13725</v>
      </c>
      <c r="F31" s="31" t="n">
        <f aca="false">SUM(E31/D31)</f>
        <v>0.616992582602832</v>
      </c>
      <c r="G31" s="31" t="str">
        <f aca="false">IF(F31&gt;69%, "GOOD", "POOR")</f>
        <v>POOR</v>
      </c>
      <c r="H31" s="32" t="n">
        <v>2.7</v>
      </c>
      <c r="I31" s="32" t="n">
        <v>200</v>
      </c>
      <c r="J31" s="32" t="str">
        <f aca="false" t="array" ref="J31:J31">_xlfn.IFS(I31&gt;299,"High HP",I31&gt;99,"Medium HP",I31&lt;100,"Low HP")</f>
        <v>Medium HP</v>
      </c>
      <c r="K31" s="32" t="s">
        <v>42</v>
      </c>
      <c r="L31" s="32" t="n">
        <v>26</v>
      </c>
      <c r="M31" s="32" t="n">
        <v>80.02378204</v>
      </c>
      <c r="N31" s="32" t="n">
        <v>17</v>
      </c>
      <c r="O31" s="32" t="n">
        <v>113</v>
      </c>
      <c r="P31" s="32" t="n">
        <v>74.4</v>
      </c>
      <c r="Q31" s="32" t="n">
        <v>209.1</v>
      </c>
      <c r="R31" s="32" t="n">
        <v>3.452</v>
      </c>
      <c r="S31" s="33" t="n">
        <v>41066</v>
      </c>
    </row>
    <row r="32" customFormat="false" ht="16.15" hidden="true" customHeight="false" outlineLevel="0" collapsed="false">
      <c r="A32" s="27" t="s">
        <v>75</v>
      </c>
      <c r="B32" s="28" t="s">
        <v>79</v>
      </c>
      <c r="C32" s="29" t="n">
        <v>32306</v>
      </c>
      <c r="D32" s="30" t="n">
        <v>16480</v>
      </c>
      <c r="E32" s="30" t="n">
        <v>12640</v>
      </c>
      <c r="F32" s="31" t="n">
        <f aca="false">SUM(E32/D32)</f>
        <v>0.766990291262136</v>
      </c>
      <c r="G32" s="31" t="str">
        <f aca="false">IF(F32&gt;69%, "GOOD", "POOR")</f>
        <v>GOOD</v>
      </c>
      <c r="H32" s="32" t="n">
        <v>2</v>
      </c>
      <c r="I32" s="32" t="n">
        <v>132</v>
      </c>
      <c r="J32" s="32" t="str">
        <f aca="false" t="array" ref="J32:J32">_xlfn.IFS(I32&gt;299,"High HP",I32&gt;99,"Medium HP",I32&lt;100,"Low HP")</f>
        <v>Medium HP</v>
      </c>
      <c r="K32" s="32" t="s">
        <v>42</v>
      </c>
      <c r="L32" s="32" t="n">
        <v>27</v>
      </c>
      <c r="M32" s="32" t="n">
        <v>53.56619987</v>
      </c>
      <c r="N32" s="32" t="n">
        <v>16</v>
      </c>
      <c r="O32" s="32" t="n">
        <v>108</v>
      </c>
      <c r="P32" s="32" t="n">
        <v>71</v>
      </c>
      <c r="Q32" s="32" t="n">
        <v>186</v>
      </c>
      <c r="R32" s="32" t="n">
        <v>2.911</v>
      </c>
      <c r="S32" s="33" t="n">
        <v>40822</v>
      </c>
    </row>
    <row r="33" customFormat="false" ht="16.15" hidden="true" customHeight="false" outlineLevel="0" collapsed="false">
      <c r="A33" s="27" t="s">
        <v>75</v>
      </c>
      <c r="B33" s="28" t="s">
        <v>80</v>
      </c>
      <c r="C33" s="29" t="n">
        <v>13462</v>
      </c>
      <c r="D33" s="30" t="n">
        <v>28340</v>
      </c>
      <c r="E33" s="30" t="n">
        <v>17325</v>
      </c>
      <c r="F33" s="31" t="n">
        <f aca="false">SUM(E33/D33)</f>
        <v>0.611326746647848</v>
      </c>
      <c r="G33" s="31" t="str">
        <f aca="false">IF(F33&gt;69%, "GOOD", "POOR")</f>
        <v>POOR</v>
      </c>
      <c r="H33" s="32" t="n">
        <v>3.5</v>
      </c>
      <c r="I33" s="32" t="n">
        <v>253</v>
      </c>
      <c r="J33" s="32" t="str">
        <f aca="false" t="array" ref="J33:J33">_xlfn.IFS(I33&gt;299,"High HP",I33&gt;99,"Medium HP",I33&lt;100,"Low HP")</f>
        <v>Medium HP</v>
      </c>
      <c r="K33" s="32" t="s">
        <v>42</v>
      </c>
      <c r="L33" s="32" t="n">
        <v>23</v>
      </c>
      <c r="M33" s="32" t="n">
        <v>101.3292807</v>
      </c>
      <c r="N33" s="32" t="n">
        <v>17</v>
      </c>
      <c r="O33" s="32" t="n">
        <v>113</v>
      </c>
      <c r="P33" s="32" t="n">
        <v>74.4</v>
      </c>
      <c r="Q33" s="32" t="n">
        <v>207.7</v>
      </c>
      <c r="R33" s="32" t="n">
        <v>3.564</v>
      </c>
      <c r="S33" s="33" t="n">
        <v>41037</v>
      </c>
    </row>
    <row r="34" customFormat="false" ht="16.15" hidden="true" customHeight="false" outlineLevel="0" collapsed="false">
      <c r="A34" s="27" t="s">
        <v>75</v>
      </c>
      <c r="B34" s="28" t="s">
        <v>81</v>
      </c>
      <c r="C34" s="29" t="n">
        <v>30696</v>
      </c>
      <c r="D34" s="30" t="n">
        <v>29185</v>
      </c>
      <c r="E34" s="30" t="n">
        <v>18425</v>
      </c>
      <c r="F34" s="31" t="n">
        <f aca="false">SUM(E34/D34)</f>
        <v>0.631317457598081</v>
      </c>
      <c r="G34" s="31" t="str">
        <f aca="false">IF(F34&gt;69%, "GOOD", "POOR")</f>
        <v>POOR</v>
      </c>
      <c r="H34" s="32" t="n">
        <v>3.5</v>
      </c>
      <c r="I34" s="32" t="n">
        <v>253</v>
      </c>
      <c r="J34" s="32" t="str">
        <f aca="false" t="array" ref="J34:J34">_xlfn.IFS(I34&gt;299,"High HP",I34&gt;99,"Medium HP",I34&lt;100,"Low HP")</f>
        <v>Medium HP</v>
      </c>
      <c r="K34" s="32" t="s">
        <v>42</v>
      </c>
      <c r="L34" s="32" t="n">
        <v>23</v>
      </c>
      <c r="M34" s="32" t="n">
        <v>101.6552441</v>
      </c>
      <c r="N34" s="32" t="n">
        <v>17</v>
      </c>
      <c r="O34" s="32" t="n">
        <v>113</v>
      </c>
      <c r="P34" s="32" t="n">
        <v>74.4</v>
      </c>
      <c r="Q34" s="32" t="n">
        <v>197.8</v>
      </c>
      <c r="R34" s="32" t="n">
        <v>3.567</v>
      </c>
      <c r="S34" s="33" t="n">
        <v>40949</v>
      </c>
    </row>
    <row r="35" customFormat="false" ht="16.15" hidden="true" customHeight="false" outlineLevel="0" collapsed="false">
      <c r="A35" s="27" t="s">
        <v>82</v>
      </c>
      <c r="B35" s="28" t="s">
        <v>83</v>
      </c>
      <c r="C35" s="29" t="n">
        <v>76034</v>
      </c>
      <c r="D35" s="30" t="n">
        <v>12640</v>
      </c>
      <c r="E35" s="30" t="n">
        <v>7750</v>
      </c>
      <c r="F35" s="31" t="n">
        <f aca="false">SUM(E35/D35)</f>
        <v>0.613132911392405</v>
      </c>
      <c r="G35" s="31" t="str">
        <f aca="false">IF(F35&gt;69%, "GOOD", "POOR")</f>
        <v>POOR</v>
      </c>
      <c r="H35" s="32" t="n">
        <v>2</v>
      </c>
      <c r="I35" s="32" t="n">
        <v>132</v>
      </c>
      <c r="J35" s="32" t="str">
        <f aca="false" t="array" ref="J35:J35">_xlfn.IFS(I35&gt;299,"High HP",I35&gt;99,"Medium HP",I35&lt;100,"Low HP")</f>
        <v>Medium HP</v>
      </c>
      <c r="K35" s="32" t="s">
        <v>42</v>
      </c>
      <c r="L35" s="32" t="n">
        <v>29</v>
      </c>
      <c r="M35" s="32" t="n">
        <v>52.08489875</v>
      </c>
      <c r="N35" s="32" t="n">
        <v>12.5</v>
      </c>
      <c r="O35" s="32" t="n">
        <v>105</v>
      </c>
      <c r="P35" s="32" t="n">
        <v>74.4</v>
      </c>
      <c r="Q35" s="32" t="n">
        <v>174.4</v>
      </c>
      <c r="R35" s="32" t="n">
        <v>2.567</v>
      </c>
      <c r="S35" s="33" t="n">
        <v>40889</v>
      </c>
    </row>
    <row r="36" customFormat="false" ht="16.15" hidden="true" customHeight="false" outlineLevel="0" collapsed="false">
      <c r="A36" s="27" t="s">
        <v>82</v>
      </c>
      <c r="B36" s="28" t="s">
        <v>84</v>
      </c>
      <c r="C36" s="29" t="n">
        <v>4734</v>
      </c>
      <c r="D36" s="30" t="n">
        <v>19045</v>
      </c>
      <c r="E36" s="30" t="n">
        <v>12545</v>
      </c>
      <c r="F36" s="31" t="n">
        <f aca="false">SUM(E36/D36)</f>
        <v>0.658703071672355</v>
      </c>
      <c r="G36" s="31" t="str">
        <f aca="false">IF(F36&gt;69%, "GOOD", "POOR")</f>
        <v>POOR</v>
      </c>
      <c r="H36" s="32" t="n">
        <v>2.5</v>
      </c>
      <c r="I36" s="32" t="n">
        <v>163</v>
      </c>
      <c r="J36" s="32" t="str">
        <f aca="false" t="array" ref="J36:J36">_xlfn.IFS(I36&gt;299,"High HP",I36&gt;99,"Medium HP",I36&lt;100,"Low HP")</f>
        <v>Medium HP</v>
      </c>
      <c r="K36" s="32" t="s">
        <v>42</v>
      </c>
      <c r="L36" s="32" t="n">
        <v>24</v>
      </c>
      <c r="M36" s="32" t="n">
        <v>65.65050834</v>
      </c>
      <c r="N36" s="32" t="n">
        <v>15.9</v>
      </c>
      <c r="O36" s="32" t="n">
        <v>103.7</v>
      </c>
      <c r="P36" s="32" t="n">
        <v>69.1</v>
      </c>
      <c r="Q36" s="32" t="n">
        <v>190.2</v>
      </c>
      <c r="R36" s="32" t="n">
        <v>2.879</v>
      </c>
      <c r="S36" s="33" t="n">
        <v>41091</v>
      </c>
    </row>
    <row r="37" customFormat="false" ht="16.15" hidden="true" customHeight="false" outlineLevel="0" collapsed="false">
      <c r="A37" s="27" t="s">
        <v>82</v>
      </c>
      <c r="B37" s="28" t="s">
        <v>85</v>
      </c>
      <c r="C37" s="29" t="n">
        <v>71186</v>
      </c>
      <c r="D37" s="30" t="n">
        <v>20230</v>
      </c>
      <c r="E37" s="30" t="n">
        <v>10185</v>
      </c>
      <c r="F37" s="31" t="n">
        <f aca="false">SUM(E37/D37)</f>
        <v>0.503460207612457</v>
      </c>
      <c r="G37" s="31" t="str">
        <f aca="false">IF(F37&gt;69%, "GOOD", "POOR")</f>
        <v>POOR</v>
      </c>
      <c r="H37" s="32" t="n">
        <v>2.5</v>
      </c>
      <c r="I37" s="32" t="n">
        <v>168</v>
      </c>
      <c r="J37" s="32" t="str">
        <f aca="false" t="array" ref="J37:J37">_xlfn.IFS(I37&gt;299,"High HP",I37&gt;99,"Medium HP",I37&lt;100,"Low HP")</f>
        <v>Medium HP</v>
      </c>
      <c r="K37" s="32" t="s">
        <v>42</v>
      </c>
      <c r="L37" s="32" t="n">
        <v>24</v>
      </c>
      <c r="M37" s="32" t="n">
        <v>67.87610784</v>
      </c>
      <c r="N37" s="32" t="n">
        <v>16</v>
      </c>
      <c r="O37" s="32" t="n">
        <v>108</v>
      </c>
      <c r="P37" s="32" t="n">
        <v>71</v>
      </c>
      <c r="Q37" s="32" t="n">
        <v>186</v>
      </c>
      <c r="R37" s="32" t="n">
        <v>3.058</v>
      </c>
      <c r="S37" s="33" t="n">
        <v>40847</v>
      </c>
    </row>
    <row r="38" customFormat="false" ht="16.15" hidden="true" customHeight="false" outlineLevel="0" collapsed="false">
      <c r="A38" s="27" t="s">
        <v>82</v>
      </c>
      <c r="B38" s="28" t="s">
        <v>86</v>
      </c>
      <c r="C38" s="29" t="n">
        <v>88028</v>
      </c>
      <c r="D38" s="30" t="n">
        <v>22505</v>
      </c>
      <c r="E38" s="30" t="n">
        <v>12275</v>
      </c>
      <c r="F38" s="31" t="n">
        <f aca="false">SUM(E38/D38)</f>
        <v>0.545434347922684</v>
      </c>
      <c r="G38" s="31" t="str">
        <f aca="false">IF(F38&gt;69%, "GOOD", "POOR")</f>
        <v>POOR</v>
      </c>
      <c r="H38" s="32" t="n">
        <v>2.7</v>
      </c>
      <c r="I38" s="32" t="n">
        <v>202</v>
      </c>
      <c r="J38" s="32" t="str">
        <f aca="false" t="array" ref="J38:J38">_xlfn.IFS(I38&gt;299,"High HP",I38&gt;99,"Medium HP",I38&lt;100,"Low HP")</f>
        <v>Medium HP</v>
      </c>
      <c r="K38" s="32" t="s">
        <v>42</v>
      </c>
      <c r="L38" s="32" t="n">
        <v>22</v>
      </c>
      <c r="M38" s="32" t="n">
        <v>80.83147017</v>
      </c>
      <c r="N38" s="32" t="n">
        <v>17</v>
      </c>
      <c r="O38" s="32" t="n">
        <v>113</v>
      </c>
      <c r="P38" s="32" t="n">
        <v>74.7</v>
      </c>
      <c r="Q38" s="32" t="n">
        <v>203.7</v>
      </c>
      <c r="R38" s="32" t="n">
        <v>3.489</v>
      </c>
      <c r="S38" s="33" t="n">
        <v>41062</v>
      </c>
    </row>
    <row r="39" customFormat="false" ht="16.15" hidden="true" customHeight="false" outlineLevel="0" collapsed="false">
      <c r="A39" s="27" t="s">
        <v>82</v>
      </c>
      <c r="B39" s="28" t="s">
        <v>87</v>
      </c>
      <c r="C39" s="29" t="n">
        <v>916</v>
      </c>
      <c r="D39" s="30" t="n">
        <v>69725</v>
      </c>
      <c r="E39" s="30" t="n">
        <v>58470</v>
      </c>
      <c r="F39" s="31" t="n">
        <f aca="false">SUM(E39/D39)</f>
        <v>0.838580136249552</v>
      </c>
      <c r="G39" s="31" t="str">
        <f aca="false">IF(F39&gt;69%, "GOOD", "POOR")</f>
        <v>GOOD</v>
      </c>
      <c r="H39" s="32" t="n">
        <v>8</v>
      </c>
      <c r="I39" s="32" t="n">
        <v>450</v>
      </c>
      <c r="J39" s="32" t="str">
        <f aca="false" t="array" ref="J39:J39">_xlfn.IFS(I39&gt;299,"High HP",I39&gt;99,"Medium HP",I39&lt;100,"Low HP")</f>
        <v>High HP</v>
      </c>
      <c r="K39" s="32" t="s">
        <v>42</v>
      </c>
      <c r="L39" s="32" t="n">
        <v>16</v>
      </c>
      <c r="M39" s="32" t="n">
        <v>188.144323</v>
      </c>
      <c r="N39" s="32" t="n">
        <v>19</v>
      </c>
      <c r="O39" s="32" t="n">
        <v>96.2</v>
      </c>
      <c r="P39" s="32" t="n">
        <v>75.7</v>
      </c>
      <c r="Q39" s="32" t="n">
        <v>176.7</v>
      </c>
      <c r="R39" s="32" t="n">
        <v>3.375</v>
      </c>
      <c r="S39" s="33" t="n">
        <v>40762</v>
      </c>
    </row>
    <row r="40" customFormat="false" ht="16.15" hidden="true" customHeight="false" outlineLevel="0" collapsed="false">
      <c r="A40" s="27" t="s">
        <v>82</v>
      </c>
      <c r="B40" s="28" t="s">
        <v>88</v>
      </c>
      <c r="C40" s="29" t="n">
        <v>227061</v>
      </c>
      <c r="D40" s="30" t="n">
        <v>19460</v>
      </c>
      <c r="E40" s="30" t="n">
        <v>15060</v>
      </c>
      <c r="F40" s="31" t="n">
        <f aca="false">SUM(E40/D40)</f>
        <v>0.773895169578623</v>
      </c>
      <c r="G40" s="31" t="str">
        <f aca="false">IF(F40&gt;69%, "GOOD", "POOR")</f>
        <v>GOOD</v>
      </c>
      <c r="H40" s="32" t="n">
        <v>5.2</v>
      </c>
      <c r="I40" s="32" t="n">
        <v>230</v>
      </c>
      <c r="J40" s="32" t="str">
        <f aca="false" t="array" ref="J40:J40">_xlfn.IFS(I40&gt;299,"High HP",I40&gt;99,"Medium HP",I40&lt;100,"Low HP")</f>
        <v>Medium HP</v>
      </c>
      <c r="K40" s="32" t="s">
        <v>64</v>
      </c>
      <c r="L40" s="32" t="n">
        <v>17</v>
      </c>
      <c r="M40" s="32" t="n">
        <v>90.21170005</v>
      </c>
      <c r="N40" s="32" t="n">
        <v>26</v>
      </c>
      <c r="O40" s="32" t="n">
        <v>138.7</v>
      </c>
      <c r="P40" s="32" t="n">
        <v>79.3</v>
      </c>
      <c r="Q40" s="32" t="n">
        <v>224.2</v>
      </c>
      <c r="R40" s="32" t="n">
        <v>4.47</v>
      </c>
      <c r="S40" s="33" t="n">
        <v>40974</v>
      </c>
    </row>
    <row r="41" customFormat="false" ht="16.15" hidden="true" customHeight="false" outlineLevel="0" collapsed="false">
      <c r="A41" s="27" t="s">
        <v>82</v>
      </c>
      <c r="B41" s="28" t="s">
        <v>89</v>
      </c>
      <c r="C41" s="29" t="n">
        <v>16767</v>
      </c>
      <c r="D41" s="30" t="n">
        <v>21315</v>
      </c>
      <c r="E41" s="30" t="n">
        <v>15510</v>
      </c>
      <c r="F41" s="31" t="n">
        <f aca="false">SUM(E41/D41)</f>
        <v>0.727656579873329</v>
      </c>
      <c r="G41" s="31" t="str">
        <f aca="false">IF(F41&gt;69%, "GOOD", "POOR")</f>
        <v>GOOD</v>
      </c>
      <c r="H41" s="32" t="n">
        <v>3.9</v>
      </c>
      <c r="I41" s="32" t="n">
        <v>175</v>
      </c>
      <c r="J41" s="32" t="str">
        <f aca="false" t="array" ref="J41:J41">_xlfn.IFS(I41&gt;299,"High HP",I41&gt;99,"Medium HP",I41&lt;100,"Low HP")</f>
        <v>Medium HP</v>
      </c>
      <c r="K41" s="32" t="s">
        <v>64</v>
      </c>
      <c r="L41" s="32" t="n">
        <v>15</v>
      </c>
      <c r="M41" s="32" t="n">
        <v>71.13529161</v>
      </c>
      <c r="N41" s="32" t="n">
        <v>32</v>
      </c>
      <c r="O41" s="32" t="n">
        <v>109.6</v>
      </c>
      <c r="P41" s="32" t="n">
        <v>78.8</v>
      </c>
      <c r="Q41" s="32" t="n">
        <v>192.6</v>
      </c>
      <c r="R41" s="32" t="n">
        <v>4.245</v>
      </c>
      <c r="S41" s="33" t="n">
        <v>40914</v>
      </c>
    </row>
    <row r="42" customFormat="false" ht="16.15" hidden="true" customHeight="false" outlineLevel="0" collapsed="false">
      <c r="A42" s="27" t="s">
        <v>82</v>
      </c>
      <c r="B42" s="28" t="s">
        <v>90</v>
      </c>
      <c r="C42" s="29" t="n">
        <v>31038</v>
      </c>
      <c r="D42" s="30" t="n">
        <v>18575</v>
      </c>
      <c r="E42" s="30" t="n">
        <v>13425</v>
      </c>
      <c r="F42" s="31" t="n">
        <f aca="false">SUM(E42/D42)</f>
        <v>0.722745625841184</v>
      </c>
      <c r="G42" s="31" t="str">
        <f aca="false">IF(F42&gt;69%, "GOOD", "POOR")</f>
        <v>GOOD</v>
      </c>
      <c r="H42" s="32" t="n">
        <v>3.9</v>
      </c>
      <c r="I42" s="32" t="n">
        <v>175</v>
      </c>
      <c r="J42" s="32" t="str">
        <f aca="false" t="array" ref="J42:J42">_xlfn.IFS(I42&gt;299,"High HP",I42&gt;99,"Medium HP",I42&lt;100,"Low HP")</f>
        <v>Medium HP</v>
      </c>
      <c r="K42" s="32" t="s">
        <v>64</v>
      </c>
      <c r="L42" s="32" t="n">
        <v>16</v>
      </c>
      <c r="M42" s="32" t="n">
        <v>70.07832154</v>
      </c>
      <c r="N42" s="32" t="n">
        <v>32</v>
      </c>
      <c r="O42" s="32" t="n">
        <v>127.2</v>
      </c>
      <c r="P42" s="32" t="n">
        <v>78.8</v>
      </c>
      <c r="Q42" s="32" t="n">
        <v>208.5</v>
      </c>
      <c r="R42" s="32" t="n">
        <v>4.298</v>
      </c>
      <c r="S42" s="33" t="n">
        <v>41116</v>
      </c>
    </row>
    <row r="43" customFormat="false" ht="16.15" hidden="true" customHeight="false" outlineLevel="0" collapsed="false">
      <c r="A43" s="27" t="s">
        <v>82</v>
      </c>
      <c r="B43" s="28" t="s">
        <v>91</v>
      </c>
      <c r="C43" s="29" t="n">
        <v>111313</v>
      </c>
      <c r="D43" s="30" t="n">
        <v>16980</v>
      </c>
      <c r="E43" s="30" t="n">
        <v>11260</v>
      </c>
      <c r="F43" s="31" t="n">
        <f aca="false">SUM(E43/D43)</f>
        <v>0.663133097762073</v>
      </c>
      <c r="G43" s="31" t="str">
        <f aca="false">IF(F43&gt;69%, "GOOD", "POOR")</f>
        <v>POOR</v>
      </c>
      <c r="H43" s="32" t="n">
        <v>2.5</v>
      </c>
      <c r="I43" s="32" t="n">
        <v>120</v>
      </c>
      <c r="J43" s="32" t="str">
        <f aca="false" t="array" ref="J43:J43">_xlfn.IFS(I43&gt;299,"High HP",I43&gt;99,"Medium HP",I43&lt;100,"Low HP")</f>
        <v>Medium HP</v>
      </c>
      <c r="K43" s="32" t="s">
        <v>64</v>
      </c>
      <c r="L43" s="32" t="n">
        <v>19</v>
      </c>
      <c r="M43" s="32" t="n">
        <v>49.64500177</v>
      </c>
      <c r="N43" s="32" t="n">
        <v>22</v>
      </c>
      <c r="O43" s="32" t="n">
        <v>131</v>
      </c>
      <c r="P43" s="32" t="n">
        <v>71.5</v>
      </c>
      <c r="Q43" s="32" t="n">
        <v>215</v>
      </c>
      <c r="R43" s="32" t="n">
        <v>3.557</v>
      </c>
      <c r="S43" s="33" t="n">
        <v>40872</v>
      </c>
    </row>
    <row r="44" customFormat="false" ht="16.15" hidden="true" customHeight="false" outlineLevel="0" collapsed="false">
      <c r="A44" s="27" t="s">
        <v>82</v>
      </c>
      <c r="B44" s="28" t="s">
        <v>92</v>
      </c>
      <c r="C44" s="29" t="n">
        <v>101323</v>
      </c>
      <c r="D44" s="30" t="n">
        <v>26310</v>
      </c>
      <c r="E44" s="30" t="n">
        <v>21436</v>
      </c>
      <c r="F44" s="31" t="n">
        <f aca="false">SUM(E44/D44)</f>
        <v>0.814747244393767</v>
      </c>
      <c r="G44" s="31" t="str">
        <f aca="false">IF(F44&gt;69%, "GOOD", "POOR")</f>
        <v>GOOD</v>
      </c>
      <c r="H44" s="32" t="n">
        <v>5.2</v>
      </c>
      <c r="I44" s="32" t="n">
        <v>230</v>
      </c>
      <c r="J44" s="32" t="str">
        <f aca="false" t="array" ref="J44:J44">_xlfn.IFS(I44&gt;299,"High HP",I44&gt;99,"Medium HP",I44&lt;100,"Low HP")</f>
        <v>Medium HP</v>
      </c>
      <c r="K44" s="32" t="s">
        <v>64</v>
      </c>
      <c r="L44" s="32" t="n">
        <v>17</v>
      </c>
      <c r="M44" s="32" t="n">
        <v>92.85412522</v>
      </c>
      <c r="N44" s="32" t="n">
        <v>25</v>
      </c>
      <c r="O44" s="32" t="n">
        <v>115.7</v>
      </c>
      <c r="P44" s="32" t="n">
        <v>71.7</v>
      </c>
      <c r="Q44" s="32" t="n">
        <v>193.5</v>
      </c>
      <c r="R44" s="32" t="n">
        <v>4.394</v>
      </c>
      <c r="S44" s="33" t="n">
        <v>41087</v>
      </c>
    </row>
    <row r="45" customFormat="false" ht="16.15" hidden="true" customHeight="false" outlineLevel="0" collapsed="false">
      <c r="A45" s="27" t="s">
        <v>82</v>
      </c>
      <c r="B45" s="28" t="s">
        <v>93</v>
      </c>
      <c r="C45" s="29" t="n">
        <v>181749</v>
      </c>
      <c r="D45" s="30" t="n">
        <v>19565</v>
      </c>
      <c r="E45" s="30" t="n">
        <v>12025</v>
      </c>
      <c r="F45" s="31" t="n">
        <f aca="false">SUM(E45/D45)</f>
        <v>0.614617940199336</v>
      </c>
      <c r="G45" s="31" t="str">
        <f aca="false">IF(F45&gt;69%, "GOOD", "POOR")</f>
        <v>POOR</v>
      </c>
      <c r="H45" s="32" t="n">
        <v>2.4</v>
      </c>
      <c r="I45" s="32" t="n">
        <v>150</v>
      </c>
      <c r="J45" s="32" t="str">
        <f aca="false" t="array" ref="J45:J45">_xlfn.IFS(I45&gt;299,"High HP",I45&gt;99,"Medium HP",I45&lt;100,"Low HP")</f>
        <v>Medium HP</v>
      </c>
      <c r="K45" s="32" t="s">
        <v>64</v>
      </c>
      <c r="L45" s="32" t="n">
        <v>24</v>
      </c>
      <c r="M45" s="32" t="n">
        <v>61.22700031</v>
      </c>
      <c r="N45" s="32" t="n">
        <v>20</v>
      </c>
      <c r="O45" s="32" t="n">
        <v>113.3</v>
      </c>
      <c r="P45" s="32" t="n">
        <v>76.8</v>
      </c>
      <c r="Q45" s="32" t="n">
        <v>186.3</v>
      </c>
      <c r="R45" s="32" t="n">
        <v>3.533</v>
      </c>
      <c r="S45" s="33" t="n">
        <v>40787</v>
      </c>
    </row>
    <row r="46" customFormat="false" ht="16.15" hidden="true" customHeight="false" outlineLevel="0" collapsed="false">
      <c r="A46" s="27" t="s">
        <v>94</v>
      </c>
      <c r="B46" s="28" t="s">
        <v>95</v>
      </c>
      <c r="C46" s="29" t="n">
        <v>70227</v>
      </c>
      <c r="D46" s="30" t="n">
        <v>12070</v>
      </c>
      <c r="E46" s="30" t="n">
        <v>7425</v>
      </c>
      <c r="F46" s="31" t="n">
        <f aca="false">SUM(E46/D46)</f>
        <v>0.615161557580779</v>
      </c>
      <c r="G46" s="31" t="str">
        <f aca="false">IF(F46&gt;69%, "GOOD", "POOR")</f>
        <v>POOR</v>
      </c>
      <c r="H46" s="32" t="n">
        <v>2</v>
      </c>
      <c r="I46" s="32" t="n">
        <v>110</v>
      </c>
      <c r="J46" s="32" t="str">
        <f aca="false" t="array" ref="J46:J46">_xlfn.IFS(I46&gt;299,"High HP",I46&gt;99,"Medium HP",I46&lt;100,"Low HP")</f>
        <v>Medium HP</v>
      </c>
      <c r="K46" s="32" t="s">
        <v>42</v>
      </c>
      <c r="L46" s="32" t="n">
        <v>30</v>
      </c>
      <c r="M46" s="32" t="n">
        <v>44.08370946</v>
      </c>
      <c r="N46" s="32" t="n">
        <v>12.7</v>
      </c>
      <c r="O46" s="32" t="n">
        <v>98.4</v>
      </c>
      <c r="P46" s="32" t="n">
        <v>67</v>
      </c>
      <c r="Q46" s="32" t="n">
        <v>174.7</v>
      </c>
      <c r="R46" s="32" t="n">
        <v>2.468</v>
      </c>
      <c r="S46" s="33" t="n">
        <v>40999</v>
      </c>
    </row>
    <row r="47" customFormat="false" ht="16.15" hidden="true" customHeight="false" outlineLevel="0" collapsed="false">
      <c r="A47" s="27" t="s">
        <v>94</v>
      </c>
      <c r="B47" s="28" t="s">
        <v>96</v>
      </c>
      <c r="C47" s="29" t="n">
        <v>113369</v>
      </c>
      <c r="D47" s="30" t="n">
        <v>21560</v>
      </c>
      <c r="E47" s="30" t="n">
        <v>12760</v>
      </c>
      <c r="F47" s="31" t="n">
        <f aca="false">SUM(E47/D47)</f>
        <v>0.591836734693878</v>
      </c>
      <c r="G47" s="31" t="str">
        <f aca="false">IF(F47&gt;69%, "GOOD", "POOR")</f>
        <v>POOR</v>
      </c>
      <c r="H47" s="32" t="n">
        <v>3.8</v>
      </c>
      <c r="I47" s="32" t="n">
        <v>190</v>
      </c>
      <c r="J47" s="32" t="str">
        <f aca="false" t="array" ref="J47:J47">_xlfn.IFS(I47&gt;299,"High HP",I47&gt;99,"Medium HP",I47&lt;100,"Low HP")</f>
        <v>Medium HP</v>
      </c>
      <c r="K47" s="32" t="s">
        <v>42</v>
      </c>
      <c r="L47" s="32" t="n">
        <v>24</v>
      </c>
      <c r="M47" s="32" t="n">
        <v>76.50918456</v>
      </c>
      <c r="N47" s="32" t="n">
        <v>15.7</v>
      </c>
      <c r="O47" s="32" t="n">
        <v>101.3</v>
      </c>
      <c r="P47" s="32" t="n">
        <v>73.1</v>
      </c>
      <c r="Q47" s="32" t="n">
        <v>183.2</v>
      </c>
      <c r="R47" s="32" t="n">
        <v>3.203</v>
      </c>
      <c r="S47" s="33" t="n">
        <v>40939</v>
      </c>
    </row>
    <row r="48" customFormat="false" ht="16.15" hidden="true" customHeight="false" outlineLevel="0" collapsed="false">
      <c r="A48" s="27" t="s">
        <v>94</v>
      </c>
      <c r="B48" s="28" t="s">
        <v>97</v>
      </c>
      <c r="C48" s="29" t="n">
        <v>35068</v>
      </c>
      <c r="D48" s="30" t="n">
        <v>17035</v>
      </c>
      <c r="E48" s="30" t="n">
        <v>8835</v>
      </c>
      <c r="F48" s="31" t="n">
        <f aca="false">SUM(E48/D48)</f>
        <v>0.518638098033461</v>
      </c>
      <c r="G48" s="31" t="str">
        <f aca="false">IF(F48&gt;69%, "GOOD", "POOR")</f>
        <v>POOR</v>
      </c>
      <c r="H48" s="32" t="n">
        <v>2.5</v>
      </c>
      <c r="I48" s="32" t="n">
        <v>170</v>
      </c>
      <c r="J48" s="32" t="str">
        <f aca="false" t="array" ref="J48:J48">_xlfn.IFS(I48&gt;299,"High HP",I48&gt;99,"Medium HP",I48&lt;100,"Low HP")</f>
        <v>Medium HP</v>
      </c>
      <c r="K48" s="32" t="s">
        <v>42</v>
      </c>
      <c r="L48" s="32" t="n">
        <v>25</v>
      </c>
      <c r="M48" s="32" t="n">
        <v>67.35101072</v>
      </c>
      <c r="N48" s="32" t="n">
        <v>15</v>
      </c>
      <c r="O48" s="32" t="n">
        <v>106.5</v>
      </c>
      <c r="P48" s="32" t="n">
        <v>69.1</v>
      </c>
      <c r="Q48" s="32" t="n">
        <v>184.6</v>
      </c>
      <c r="R48" s="32" t="n">
        <v>2.769</v>
      </c>
      <c r="S48" s="33" t="n">
        <v>41141</v>
      </c>
    </row>
    <row r="49" customFormat="false" ht="16.15" hidden="true" customHeight="false" outlineLevel="0" collapsed="false">
      <c r="A49" s="27" t="s">
        <v>94</v>
      </c>
      <c r="B49" s="28" t="s">
        <v>98</v>
      </c>
      <c r="C49" s="29" t="n">
        <v>245815</v>
      </c>
      <c r="D49" s="30" t="n">
        <v>17885</v>
      </c>
      <c r="E49" s="30" t="n">
        <v>10055</v>
      </c>
      <c r="F49" s="31" t="n">
        <f aca="false">SUM(E49/D49)</f>
        <v>0.562202963377132</v>
      </c>
      <c r="G49" s="31" t="str">
        <f aca="false">IF(F49&gt;69%, "GOOD", "POOR")</f>
        <v>POOR</v>
      </c>
      <c r="H49" s="32" t="n">
        <v>3</v>
      </c>
      <c r="I49" s="32" t="n">
        <v>155</v>
      </c>
      <c r="J49" s="32" t="str">
        <f aca="false" t="array" ref="J49:J49">_xlfn.IFS(I49&gt;299,"High HP",I49&gt;99,"Medium HP",I49&lt;100,"Low HP")</f>
        <v>Medium HP</v>
      </c>
      <c r="K49" s="32" t="s">
        <v>42</v>
      </c>
      <c r="L49" s="32" t="n">
        <v>24</v>
      </c>
      <c r="M49" s="32" t="n">
        <v>62.5037395</v>
      </c>
      <c r="N49" s="32" t="n">
        <v>16</v>
      </c>
      <c r="O49" s="32" t="n">
        <v>108.5</v>
      </c>
      <c r="P49" s="32" t="n">
        <v>73</v>
      </c>
      <c r="Q49" s="32" t="n">
        <v>197.6</v>
      </c>
      <c r="R49" s="32" t="n">
        <v>3.368</v>
      </c>
      <c r="S49" s="33" t="n">
        <v>40897</v>
      </c>
    </row>
    <row r="50" customFormat="false" ht="16.15" hidden="true" customHeight="false" outlineLevel="0" collapsed="false">
      <c r="A50" s="27" t="s">
        <v>94</v>
      </c>
      <c r="B50" s="28" t="s">
        <v>99</v>
      </c>
      <c r="C50" s="29" t="n">
        <v>175670</v>
      </c>
      <c r="D50" s="30" t="n">
        <v>12315</v>
      </c>
      <c r="E50" s="30" t="n">
        <v>8670</v>
      </c>
      <c r="F50" s="31" t="n">
        <f aca="false">SUM(E50/D50)</f>
        <v>0.704019488428745</v>
      </c>
      <c r="G50" s="31" t="str">
        <f aca="false">IF(F50&gt;69%, "GOOD", "POOR")</f>
        <v>GOOD</v>
      </c>
      <c r="H50" s="32" t="n">
        <v>2</v>
      </c>
      <c r="I50" s="32" t="n">
        <v>107</v>
      </c>
      <c r="J50" s="32" t="str">
        <f aca="false" t="array" ref="J50:J50">_xlfn.IFS(I50&gt;299,"High HP",I50&gt;99,"Medium HP",I50&lt;100,"Low HP")</f>
        <v>Medium HP</v>
      </c>
      <c r="K50" s="32" t="s">
        <v>42</v>
      </c>
      <c r="L50" s="32" t="n">
        <v>30</v>
      </c>
      <c r="M50" s="32" t="n">
        <v>43.11713201</v>
      </c>
      <c r="N50" s="32" t="n">
        <v>13.2</v>
      </c>
      <c r="O50" s="32" t="n">
        <v>103</v>
      </c>
      <c r="P50" s="32" t="n">
        <v>66.9</v>
      </c>
      <c r="Q50" s="32" t="n">
        <v>174.8</v>
      </c>
      <c r="R50" s="32" t="n">
        <v>2.564</v>
      </c>
      <c r="S50" s="33" t="n">
        <v>41112</v>
      </c>
    </row>
    <row r="51" customFormat="false" ht="16.15" hidden="true" customHeight="false" outlineLevel="0" collapsed="false">
      <c r="A51" s="27" t="s">
        <v>94</v>
      </c>
      <c r="B51" s="28" t="s">
        <v>100</v>
      </c>
      <c r="C51" s="29" t="n">
        <v>63403</v>
      </c>
      <c r="D51" s="30" t="n">
        <v>22195</v>
      </c>
      <c r="E51" s="30" t="n">
        <v>14210</v>
      </c>
      <c r="F51" s="31" t="n">
        <f aca="false">SUM(E51/D51)</f>
        <v>0.640234287001577</v>
      </c>
      <c r="G51" s="31" t="str">
        <f aca="false">IF(F51&gt;69%, "GOOD", "POOR")</f>
        <v>POOR</v>
      </c>
      <c r="H51" s="32" t="n">
        <v>4.6</v>
      </c>
      <c r="I51" s="32" t="n">
        <v>200</v>
      </c>
      <c r="J51" s="32" t="str">
        <f aca="false" t="array" ref="J51:J51">_xlfn.IFS(I51&gt;299,"High HP",I51&gt;99,"Medium HP",I51&lt;100,"Low HP")</f>
        <v>Medium HP</v>
      </c>
      <c r="K51" s="32" t="s">
        <v>42</v>
      </c>
      <c r="L51" s="32" t="n">
        <v>21</v>
      </c>
      <c r="M51" s="32" t="n">
        <v>80.49953671</v>
      </c>
      <c r="N51" s="32" t="n">
        <v>19</v>
      </c>
      <c r="O51" s="32" t="n">
        <v>114.7</v>
      </c>
      <c r="P51" s="32" t="n">
        <v>78.2</v>
      </c>
      <c r="Q51" s="32" t="n">
        <v>212</v>
      </c>
      <c r="R51" s="32" t="n">
        <v>3.908</v>
      </c>
      <c r="S51" s="33" t="n">
        <v>40812</v>
      </c>
    </row>
    <row r="52" customFormat="false" ht="16.15" hidden="true" customHeight="false" outlineLevel="0" collapsed="false">
      <c r="A52" s="27" t="s">
        <v>94</v>
      </c>
      <c r="B52" s="28" t="s">
        <v>101</v>
      </c>
      <c r="C52" s="29" t="n">
        <v>276747</v>
      </c>
      <c r="D52" s="30" t="n">
        <v>31930</v>
      </c>
      <c r="E52" s="30" t="n">
        <v>16640</v>
      </c>
      <c r="F52" s="31" t="n">
        <f aca="false">SUM(E52/D52)</f>
        <v>0.521139993736298</v>
      </c>
      <c r="G52" s="31" t="str">
        <f aca="false">IF(F52&gt;69%, "GOOD", "POOR")</f>
        <v>POOR</v>
      </c>
      <c r="H52" s="32" t="n">
        <v>4</v>
      </c>
      <c r="I52" s="32" t="n">
        <v>210</v>
      </c>
      <c r="J52" s="32" t="str">
        <f aca="false" t="array" ref="J52:J52">_xlfn.IFS(I52&gt;299,"High HP",I52&gt;99,"Medium HP",I52&lt;100,"Low HP")</f>
        <v>Medium HP</v>
      </c>
      <c r="K52" s="32" t="s">
        <v>64</v>
      </c>
      <c r="L52" s="32" t="n">
        <v>19</v>
      </c>
      <c r="M52" s="32" t="n">
        <v>87.63549578</v>
      </c>
      <c r="N52" s="32" t="n">
        <v>21</v>
      </c>
      <c r="O52" s="32" t="n">
        <v>111.6</v>
      </c>
      <c r="P52" s="32" t="n">
        <v>70.2</v>
      </c>
      <c r="Q52" s="32" t="n">
        <v>190.7</v>
      </c>
      <c r="R52" s="32" t="n">
        <v>3.876</v>
      </c>
      <c r="S52" s="33" t="n">
        <v>41024</v>
      </c>
    </row>
    <row r="53" customFormat="false" ht="16.15" hidden="true" customHeight="false" outlineLevel="0" collapsed="false">
      <c r="A53" s="27" t="s">
        <v>94</v>
      </c>
      <c r="B53" s="28" t="s">
        <v>102</v>
      </c>
      <c r="C53" s="29" t="n">
        <v>155787</v>
      </c>
      <c r="D53" s="30" t="n">
        <v>21410</v>
      </c>
      <c r="E53" s="30" t="n">
        <v>13175</v>
      </c>
      <c r="F53" s="31" t="n">
        <f aca="false">SUM(E53/D53)</f>
        <v>0.615366651097618</v>
      </c>
      <c r="G53" s="31" t="str">
        <f aca="false">IF(F53&gt;69%, "GOOD", "POOR")</f>
        <v>POOR</v>
      </c>
      <c r="H53" s="32" t="n">
        <v>3</v>
      </c>
      <c r="I53" s="32" t="n">
        <v>150</v>
      </c>
      <c r="J53" s="32" t="str">
        <f aca="false" t="array" ref="J53:J53">_xlfn.IFS(I53&gt;299,"High HP",I53&gt;99,"Medium HP",I53&lt;100,"Low HP")</f>
        <v>Medium HP</v>
      </c>
      <c r="K53" s="32" t="s">
        <v>64</v>
      </c>
      <c r="L53" s="32" t="n">
        <v>21</v>
      </c>
      <c r="M53" s="32" t="n">
        <v>62.09504839</v>
      </c>
      <c r="N53" s="32" t="n">
        <v>26</v>
      </c>
      <c r="O53" s="32" t="n">
        <v>120.7</v>
      </c>
      <c r="P53" s="32" t="n">
        <v>76.6</v>
      </c>
      <c r="Q53" s="32" t="n">
        <v>200.9</v>
      </c>
      <c r="R53" s="32" t="n">
        <v>3.761</v>
      </c>
      <c r="S53" s="33" t="n">
        <v>40964</v>
      </c>
    </row>
    <row r="54" customFormat="false" ht="16.15" hidden="true" customHeight="false" outlineLevel="0" collapsed="false">
      <c r="A54" s="27" t="s">
        <v>94</v>
      </c>
      <c r="B54" s="28" t="s">
        <v>103</v>
      </c>
      <c r="C54" s="29" t="n">
        <v>125338</v>
      </c>
      <c r="D54" s="30" t="n">
        <v>36135</v>
      </c>
      <c r="E54" s="30" t="n">
        <v>23575</v>
      </c>
      <c r="F54" s="31" t="n">
        <f aca="false">SUM(E54/D54)</f>
        <v>0.652414556524146</v>
      </c>
      <c r="G54" s="31" t="str">
        <f aca="false">IF(F54&gt;69%, "GOOD", "POOR")</f>
        <v>POOR</v>
      </c>
      <c r="H54" s="32" t="n">
        <v>4.6</v>
      </c>
      <c r="I54" s="32" t="n">
        <v>240</v>
      </c>
      <c r="J54" s="32" t="str">
        <f aca="false" t="array" ref="J54:J54">_xlfn.IFS(I54&gt;299,"High HP",I54&gt;99,"Medium HP",I54&lt;100,"Low HP")</f>
        <v>Medium HP</v>
      </c>
      <c r="K54" s="32" t="s">
        <v>64</v>
      </c>
      <c r="L54" s="32" t="n">
        <v>16</v>
      </c>
      <c r="M54" s="32" t="n">
        <v>100.0248023</v>
      </c>
      <c r="N54" s="32" t="n">
        <v>26</v>
      </c>
      <c r="O54" s="32" t="n">
        <v>119</v>
      </c>
      <c r="P54" s="32" t="n">
        <v>78.7</v>
      </c>
      <c r="Q54" s="32" t="n">
        <v>204.6</v>
      </c>
      <c r="R54" s="32" t="n">
        <v>4.808</v>
      </c>
      <c r="S54" s="33" t="n">
        <v>41166</v>
      </c>
    </row>
    <row r="55" customFormat="false" ht="16.15" hidden="true" customHeight="false" outlineLevel="0" collapsed="false">
      <c r="A55" s="27" t="s">
        <v>94</v>
      </c>
      <c r="B55" s="28" t="s">
        <v>104</v>
      </c>
      <c r="C55" s="29" t="n">
        <v>220650</v>
      </c>
      <c r="D55" s="30" t="n">
        <v>12050</v>
      </c>
      <c r="E55" s="30" t="n">
        <v>7850</v>
      </c>
      <c r="F55" s="31" t="n">
        <f aca="false">SUM(E55/D55)</f>
        <v>0.651452282157676</v>
      </c>
      <c r="G55" s="31" t="str">
        <f aca="false">IF(F55&gt;69%, "GOOD", "POOR")</f>
        <v>POOR</v>
      </c>
      <c r="H55" s="32" t="n">
        <v>2.5</v>
      </c>
      <c r="I55" s="32" t="n">
        <v>119</v>
      </c>
      <c r="J55" s="32" t="str">
        <f aca="false" t="array" ref="J55:J55">_xlfn.IFS(I55&gt;299,"High HP",I55&gt;99,"Medium HP",I55&lt;100,"Low HP")</f>
        <v>Medium HP</v>
      </c>
      <c r="K55" s="32" t="s">
        <v>64</v>
      </c>
      <c r="L55" s="32" t="n">
        <v>23</v>
      </c>
      <c r="M55" s="32" t="n">
        <v>47.38953131</v>
      </c>
      <c r="N55" s="32" t="n">
        <v>20</v>
      </c>
      <c r="O55" s="32" t="n">
        <v>117.5</v>
      </c>
      <c r="P55" s="32" t="n">
        <v>69.4</v>
      </c>
      <c r="Q55" s="32" t="n">
        <v>200.7</v>
      </c>
      <c r="R55" s="32" t="n">
        <v>3.086</v>
      </c>
      <c r="S55" s="33" t="n">
        <v>40922</v>
      </c>
    </row>
    <row r="56" customFormat="false" ht="16.15" hidden="true" customHeight="false" outlineLevel="0" collapsed="false">
      <c r="A56" s="27" t="s">
        <v>94</v>
      </c>
      <c r="B56" s="28" t="s">
        <v>105</v>
      </c>
      <c r="C56" s="29" t="n">
        <v>540561</v>
      </c>
      <c r="D56" s="30" t="n">
        <v>26935</v>
      </c>
      <c r="E56" s="30" t="n">
        <v>15075</v>
      </c>
      <c r="F56" s="31" t="n">
        <f aca="false">SUM(E56/D56)</f>
        <v>0.559680712827177</v>
      </c>
      <c r="G56" s="31" t="str">
        <f aca="false">IF(F56&gt;69%, "GOOD", "POOR")</f>
        <v>POOR</v>
      </c>
      <c r="H56" s="32" t="n">
        <v>4.6</v>
      </c>
      <c r="I56" s="32" t="n">
        <v>220</v>
      </c>
      <c r="J56" s="32" t="str">
        <f aca="false" t="array" ref="J56:J56">_xlfn.IFS(I56&gt;299,"High HP",I56&gt;99,"Medium HP",I56&lt;100,"Low HP")</f>
        <v>Medium HP</v>
      </c>
      <c r="K56" s="32" t="s">
        <v>64</v>
      </c>
      <c r="L56" s="32" t="n">
        <v>18</v>
      </c>
      <c r="M56" s="32" t="n">
        <v>89.40193473</v>
      </c>
      <c r="N56" s="32" t="n">
        <v>25.1</v>
      </c>
      <c r="O56" s="32" t="n">
        <v>138.5</v>
      </c>
      <c r="P56" s="32" t="n">
        <v>79.1</v>
      </c>
      <c r="Q56" s="32" t="n">
        <v>224.5</v>
      </c>
      <c r="R56" s="32" t="n">
        <v>4.241</v>
      </c>
      <c r="S56" s="33" t="n">
        <v>41137</v>
      </c>
    </row>
    <row r="57" customFormat="false" ht="16.15" hidden="true" customHeight="false" outlineLevel="0" collapsed="false">
      <c r="A57" s="27" t="s">
        <v>3</v>
      </c>
      <c r="B57" s="28" t="s">
        <v>106</v>
      </c>
      <c r="C57" s="29" t="n">
        <v>199685</v>
      </c>
      <c r="D57" s="30" t="n">
        <v>12885</v>
      </c>
      <c r="E57" s="30" t="n">
        <v>9850</v>
      </c>
      <c r="F57" s="31" t="n">
        <f aca="false">SUM(E57/D57)</f>
        <v>0.764454792394257</v>
      </c>
      <c r="G57" s="31" t="str">
        <f aca="false">IF(F57&gt;69%, "GOOD", "POOR")</f>
        <v>GOOD</v>
      </c>
      <c r="H57" s="32" t="n">
        <v>1.6</v>
      </c>
      <c r="I57" s="32" t="n">
        <v>106</v>
      </c>
      <c r="J57" s="32" t="str">
        <f aca="false" t="array" ref="J57:J57">_xlfn.IFS(I57&gt;299,"High HP",I57&gt;99,"Medium HP",I57&lt;100,"Low HP")</f>
        <v>Medium HP</v>
      </c>
      <c r="K57" s="32" t="s">
        <v>42</v>
      </c>
      <c r="L57" s="32" t="n">
        <v>32</v>
      </c>
      <c r="M57" s="32" t="n">
        <v>42.87909734</v>
      </c>
      <c r="N57" s="32" t="n">
        <v>11.9</v>
      </c>
      <c r="O57" s="32" t="n">
        <v>103.2</v>
      </c>
      <c r="P57" s="32" t="n">
        <v>67.1</v>
      </c>
      <c r="Q57" s="32" t="n">
        <v>175.1</v>
      </c>
      <c r="R57" s="32" t="n">
        <v>2.339</v>
      </c>
      <c r="S57" s="33" t="n">
        <v>40837</v>
      </c>
    </row>
    <row r="58" customFormat="false" ht="16.15" hidden="true" customHeight="false" outlineLevel="0" collapsed="false">
      <c r="A58" s="27" t="s">
        <v>3</v>
      </c>
      <c r="B58" s="28" t="s">
        <v>107</v>
      </c>
      <c r="C58" s="29" t="n">
        <v>230902</v>
      </c>
      <c r="D58" s="30" t="n">
        <v>15350</v>
      </c>
      <c r="E58" s="30" t="n">
        <v>13210</v>
      </c>
      <c r="F58" s="31" t="n">
        <f aca="false">SUM(E58/D58)</f>
        <v>0.860586319218241</v>
      </c>
      <c r="G58" s="31" t="str">
        <f aca="false">IF(F58&gt;69%, "GOOD", "POOR")</f>
        <v>GOOD</v>
      </c>
      <c r="H58" s="32" t="n">
        <v>2.3</v>
      </c>
      <c r="I58" s="32" t="n">
        <v>135</v>
      </c>
      <c r="J58" s="32" t="str">
        <f aca="false" t="array" ref="J58:J58">_xlfn.IFS(I58&gt;299,"High HP",I58&gt;99,"Medium HP",I58&lt;100,"Low HP")</f>
        <v>Medium HP</v>
      </c>
      <c r="K58" s="32" t="s">
        <v>42</v>
      </c>
      <c r="L58" s="32" t="n">
        <v>27</v>
      </c>
      <c r="M58" s="32" t="n">
        <v>54.26954829</v>
      </c>
      <c r="N58" s="32" t="n">
        <v>17.1</v>
      </c>
      <c r="O58" s="32" t="n">
        <v>106.9</v>
      </c>
      <c r="P58" s="32" t="n">
        <v>70.3</v>
      </c>
      <c r="Q58" s="32" t="n">
        <v>188.8</v>
      </c>
      <c r="R58" s="32" t="n">
        <v>2.932</v>
      </c>
      <c r="S58" s="33" t="n">
        <v>41049</v>
      </c>
    </row>
    <row r="59" customFormat="false" ht="16.15" hidden="true" customHeight="false" outlineLevel="0" collapsed="false">
      <c r="A59" s="27" t="s">
        <v>3</v>
      </c>
      <c r="B59" s="28" t="s">
        <v>108</v>
      </c>
      <c r="C59" s="29" t="n">
        <v>73203</v>
      </c>
      <c r="D59" s="30" t="n">
        <v>20550</v>
      </c>
      <c r="E59" s="30" t="n">
        <v>17710</v>
      </c>
      <c r="F59" s="31" t="n">
        <f aca="false">SUM(E59/D59)</f>
        <v>0.861800486618005</v>
      </c>
      <c r="G59" s="31" t="str">
        <f aca="false">IF(F59&gt;69%, "GOOD", "POOR")</f>
        <v>GOOD</v>
      </c>
      <c r="H59" s="32" t="n">
        <v>2</v>
      </c>
      <c r="I59" s="32" t="n">
        <v>146</v>
      </c>
      <c r="J59" s="32" t="str">
        <f aca="false" t="array" ref="J59:J59">_xlfn.IFS(I59&gt;299,"High HP",I59&gt;99,"Medium HP",I59&lt;100,"Low HP")</f>
        <v>Medium HP</v>
      </c>
      <c r="K59" s="32" t="s">
        <v>64</v>
      </c>
      <c r="L59" s="32" t="n">
        <v>24</v>
      </c>
      <c r="M59" s="32" t="n">
        <v>60.08796662</v>
      </c>
      <c r="N59" s="32" t="n">
        <v>15.3</v>
      </c>
      <c r="O59" s="32" t="n">
        <v>103.2</v>
      </c>
      <c r="P59" s="32" t="n">
        <v>68.9</v>
      </c>
      <c r="Q59" s="32" t="n">
        <v>177.6</v>
      </c>
      <c r="R59" s="32" t="n">
        <v>3.219</v>
      </c>
      <c r="S59" s="33" t="n">
        <v>40989</v>
      </c>
    </row>
    <row r="60" customFormat="false" ht="16.15" hidden="true" customHeight="false" outlineLevel="0" collapsed="false">
      <c r="A60" s="27" t="s">
        <v>3</v>
      </c>
      <c r="B60" s="28" t="s">
        <v>109</v>
      </c>
      <c r="C60" s="29" t="n">
        <v>12855</v>
      </c>
      <c r="D60" s="30" t="n">
        <v>26600</v>
      </c>
      <c r="E60" s="30" t="n">
        <v>17525</v>
      </c>
      <c r="F60" s="31" t="n">
        <f aca="false">SUM(E60/D60)</f>
        <v>0.658834586466165</v>
      </c>
      <c r="G60" s="31" t="str">
        <f aca="false">IF(F60&gt;69%, "GOOD", "POOR")</f>
        <v>POOR</v>
      </c>
      <c r="H60" s="32" t="n">
        <v>3.2</v>
      </c>
      <c r="I60" s="32" t="n">
        <v>205</v>
      </c>
      <c r="J60" s="32" t="str">
        <f aca="false" t="array" ref="J60:J60">_xlfn.IFS(I60&gt;299,"High HP",I60&gt;99,"Medium HP",I60&lt;100,"Low HP")</f>
        <v>Medium HP</v>
      </c>
      <c r="K60" s="32" t="s">
        <v>64</v>
      </c>
      <c r="L60" s="32" t="n">
        <v>19</v>
      </c>
      <c r="M60" s="32" t="n">
        <v>83.6025008</v>
      </c>
      <c r="N60" s="32" t="n">
        <v>21.1</v>
      </c>
      <c r="O60" s="32" t="n">
        <v>106.4</v>
      </c>
      <c r="P60" s="32" t="n">
        <v>70.4</v>
      </c>
      <c r="Q60" s="32" t="n">
        <v>178.2</v>
      </c>
      <c r="R60" s="32" t="n">
        <v>3.857</v>
      </c>
      <c r="S60" s="33" t="n">
        <v>41191</v>
      </c>
    </row>
    <row r="61" customFormat="false" ht="16.15" hidden="true" customHeight="false" outlineLevel="0" collapsed="false">
      <c r="A61" s="27" t="s">
        <v>3</v>
      </c>
      <c r="B61" s="28" t="s">
        <v>110</v>
      </c>
      <c r="C61" s="29" t="n">
        <v>76029</v>
      </c>
      <c r="D61" s="30" t="n">
        <v>26000</v>
      </c>
      <c r="E61" s="30" t="n">
        <v>19490</v>
      </c>
      <c r="F61" s="31" t="n">
        <f aca="false">SUM(E61/D61)</f>
        <v>0.749615384615385</v>
      </c>
      <c r="G61" s="31" t="str">
        <f aca="false">IF(F61&gt;69%, "GOOD", "POOR")</f>
        <v>GOOD</v>
      </c>
      <c r="H61" s="32" t="n">
        <v>3.5</v>
      </c>
      <c r="I61" s="32" t="n">
        <v>210</v>
      </c>
      <c r="J61" s="32" t="str">
        <f aca="false" t="array" ref="J61:J61">_xlfn.IFS(I61&gt;299,"High HP",I61&gt;99,"Medium HP",I61&lt;100,"Low HP")</f>
        <v>Medium HP</v>
      </c>
      <c r="K61" s="32" t="s">
        <v>64</v>
      </c>
      <c r="L61" s="32" t="n">
        <v>23</v>
      </c>
      <c r="M61" s="32" t="n">
        <v>85.21769134</v>
      </c>
      <c r="N61" s="32" t="n">
        <v>20</v>
      </c>
      <c r="O61" s="32" t="n">
        <v>118.1</v>
      </c>
      <c r="P61" s="32" t="n">
        <v>75.6</v>
      </c>
      <c r="Q61" s="32" t="n">
        <v>201.2</v>
      </c>
      <c r="R61" s="32" t="n">
        <v>4.288</v>
      </c>
      <c r="S61" s="33" t="n">
        <v>40947</v>
      </c>
    </row>
    <row r="62" customFormat="false" ht="16.15" hidden="true" customHeight="false" outlineLevel="0" collapsed="false">
      <c r="A62" s="27" t="s">
        <v>111</v>
      </c>
      <c r="B62" s="28" t="s">
        <v>112</v>
      </c>
      <c r="C62" s="29" t="n">
        <v>41184</v>
      </c>
      <c r="D62" s="30" t="n">
        <v>9699</v>
      </c>
      <c r="E62" s="30" t="n">
        <v>5860</v>
      </c>
      <c r="F62" s="31" t="n">
        <f aca="false">SUM(E62/D62)</f>
        <v>0.604185998556552</v>
      </c>
      <c r="G62" s="31" t="str">
        <f aca="false">IF(F62&gt;69%, "GOOD", "POOR")</f>
        <v>POOR</v>
      </c>
      <c r="H62" s="32" t="n">
        <v>1.5</v>
      </c>
      <c r="I62" s="32" t="n">
        <v>92</v>
      </c>
      <c r="J62" s="32" t="str">
        <f aca="false" t="array" ref="J62:J62">_xlfn.IFS(I62&gt;299,"High HP",I62&gt;99,"Medium HP",I62&lt;100,"Low HP")</f>
        <v>Low HP</v>
      </c>
      <c r="K62" s="32" t="s">
        <v>42</v>
      </c>
      <c r="L62" s="32" t="n">
        <v>31</v>
      </c>
      <c r="M62" s="32" t="n">
        <v>36.67228358</v>
      </c>
      <c r="N62" s="32" t="n">
        <v>11.9</v>
      </c>
      <c r="O62" s="32" t="n">
        <v>96.1</v>
      </c>
      <c r="P62" s="32" t="n">
        <v>65.7</v>
      </c>
      <c r="Q62" s="32" t="n">
        <v>166.7</v>
      </c>
      <c r="R62" s="32" t="n">
        <v>2.24</v>
      </c>
      <c r="S62" s="33" t="n">
        <v>41162</v>
      </c>
    </row>
    <row r="63" customFormat="false" ht="16.15" hidden="true" customHeight="false" outlineLevel="0" collapsed="false">
      <c r="A63" s="27" t="s">
        <v>111</v>
      </c>
      <c r="B63" s="28" t="s">
        <v>113</v>
      </c>
      <c r="C63" s="29" t="n">
        <v>66692</v>
      </c>
      <c r="D63" s="30" t="n">
        <v>11799</v>
      </c>
      <c r="E63" s="30" t="n">
        <v>7825</v>
      </c>
      <c r="F63" s="31" t="n">
        <f aca="false">SUM(E63/D63)</f>
        <v>0.663191795914908</v>
      </c>
      <c r="G63" s="31" t="str">
        <f aca="false">IF(F63&gt;69%, "GOOD", "POOR")</f>
        <v>POOR</v>
      </c>
      <c r="H63" s="32" t="n">
        <v>2</v>
      </c>
      <c r="I63" s="32" t="n">
        <v>140</v>
      </c>
      <c r="J63" s="32" t="str">
        <f aca="false" t="array" ref="J63:J63">_xlfn.IFS(I63&gt;299,"High HP",I63&gt;99,"Medium HP",I63&lt;100,"Low HP")</f>
        <v>Medium HP</v>
      </c>
      <c r="K63" s="32" t="s">
        <v>42</v>
      </c>
      <c r="L63" s="32" t="n">
        <v>27</v>
      </c>
      <c r="M63" s="32" t="n">
        <v>54.59004516</v>
      </c>
      <c r="N63" s="32" t="n">
        <v>14.5</v>
      </c>
      <c r="O63" s="32" t="n">
        <v>100.4</v>
      </c>
      <c r="P63" s="32" t="n">
        <v>66.9</v>
      </c>
      <c r="Q63" s="32" t="n">
        <v>174</v>
      </c>
      <c r="R63" s="32" t="n">
        <v>2.626</v>
      </c>
      <c r="S63" s="33" t="n">
        <v>40862</v>
      </c>
    </row>
    <row r="64" customFormat="false" ht="16.15" hidden="true" customHeight="false" outlineLevel="0" collapsed="false">
      <c r="A64" s="27" t="s">
        <v>111</v>
      </c>
      <c r="B64" s="28" t="s">
        <v>114</v>
      </c>
      <c r="C64" s="29" t="n">
        <v>29450</v>
      </c>
      <c r="D64" s="30" t="n">
        <v>14999</v>
      </c>
      <c r="E64" s="30" t="n">
        <v>8910</v>
      </c>
      <c r="F64" s="31" t="n">
        <f aca="false">SUM(E64/D64)</f>
        <v>0.594039602640176</v>
      </c>
      <c r="G64" s="31" t="str">
        <f aca="false">IF(F64&gt;69%, "GOOD", "POOR")</f>
        <v>POOR</v>
      </c>
      <c r="H64" s="32" t="n">
        <v>2.4</v>
      </c>
      <c r="I64" s="32" t="n">
        <v>148</v>
      </c>
      <c r="J64" s="32" t="str">
        <f aca="false" t="array" ref="J64:J64">_xlfn.IFS(I64&gt;299,"High HP",I64&gt;99,"Medium HP",I64&lt;100,"Low HP")</f>
        <v>Medium HP</v>
      </c>
      <c r="K64" s="32" t="s">
        <v>42</v>
      </c>
      <c r="L64" s="32" t="n">
        <v>25</v>
      </c>
      <c r="M64" s="32" t="n">
        <v>58.758249</v>
      </c>
      <c r="N64" s="32" t="n">
        <v>17.2</v>
      </c>
      <c r="O64" s="32" t="n">
        <v>106.3</v>
      </c>
      <c r="P64" s="32" t="n">
        <v>71.6</v>
      </c>
      <c r="Q64" s="32" t="n">
        <v>185.4</v>
      </c>
      <c r="R64" s="32" t="n">
        <v>3.072</v>
      </c>
      <c r="S64" s="33" t="n">
        <v>41074</v>
      </c>
    </row>
    <row r="65" customFormat="false" ht="16.15" hidden="true" customHeight="false" outlineLevel="0" collapsed="false">
      <c r="A65" s="27" t="s">
        <v>4</v>
      </c>
      <c r="B65" s="28" t="s">
        <v>115</v>
      </c>
      <c r="C65" s="29" t="n">
        <v>23713</v>
      </c>
      <c r="D65" s="30" t="n">
        <v>29465</v>
      </c>
      <c r="E65" s="30" t="n">
        <v>19690</v>
      </c>
      <c r="F65" s="31" t="n">
        <f aca="false">SUM(E65/D65)</f>
        <v>0.668250466655354</v>
      </c>
      <c r="G65" s="31" t="str">
        <f aca="false">IF(F65&gt;69%, "GOOD", "POOR")</f>
        <v>POOR</v>
      </c>
      <c r="H65" s="32" t="n">
        <v>3</v>
      </c>
      <c r="I65" s="32" t="n">
        <v>227</v>
      </c>
      <c r="J65" s="32" t="str">
        <f aca="false" t="array" ref="J65:J65">_xlfn.IFS(I65&gt;299,"High HP",I65&gt;99,"Medium HP",I65&lt;100,"Low HP")</f>
        <v>Medium HP</v>
      </c>
      <c r="K65" s="32" t="s">
        <v>42</v>
      </c>
      <c r="L65" s="32" t="n">
        <v>25</v>
      </c>
      <c r="M65" s="32" t="n">
        <v>92.43688923</v>
      </c>
      <c r="N65" s="32" t="n">
        <v>18.5</v>
      </c>
      <c r="O65" s="32" t="n">
        <v>108.3</v>
      </c>
      <c r="P65" s="32" t="n">
        <v>70.2</v>
      </c>
      <c r="Q65" s="32" t="n">
        <v>193.7</v>
      </c>
      <c r="R65" s="32" t="n">
        <v>3.342</v>
      </c>
      <c r="S65" s="33" t="n">
        <v>41014</v>
      </c>
    </row>
    <row r="66" customFormat="false" ht="16.15" hidden="true" customHeight="false" outlineLevel="0" collapsed="false">
      <c r="A66" s="27" t="s">
        <v>116</v>
      </c>
      <c r="B66" s="28" t="s">
        <v>117</v>
      </c>
      <c r="C66" s="29" t="n">
        <v>15467</v>
      </c>
      <c r="D66" s="30" t="n">
        <v>42800</v>
      </c>
      <c r="E66" s="30" t="n">
        <v>33219</v>
      </c>
      <c r="F66" s="31" t="n">
        <f aca="false">SUM(E66/D66)</f>
        <v>0.776144859813084</v>
      </c>
      <c r="G66" s="31" t="str">
        <f aca="false">IF(F66&gt;69%, "GOOD", "POOR")</f>
        <v>GOOD</v>
      </c>
      <c r="H66" s="32" t="n">
        <v>3</v>
      </c>
      <c r="I66" s="32" t="n">
        <v>240</v>
      </c>
      <c r="J66" s="32" t="str">
        <f aca="false" t="array" ref="J66:J66">_xlfn.IFS(I66&gt;299,"High HP",I66&gt;99,"Medium HP",I66&lt;100,"Low HP")</f>
        <v>Medium HP</v>
      </c>
      <c r="K66" s="32" t="s">
        <v>42</v>
      </c>
      <c r="L66" s="32" t="n">
        <v>21</v>
      </c>
      <c r="M66" s="32" t="n">
        <v>102.1789848</v>
      </c>
      <c r="N66" s="32" t="n">
        <v>18.4</v>
      </c>
      <c r="O66" s="32" t="n">
        <v>114.5</v>
      </c>
      <c r="P66" s="32" t="n">
        <v>71.6</v>
      </c>
      <c r="Q66" s="32" t="n">
        <v>191.3</v>
      </c>
      <c r="R66" s="32" t="n">
        <v>3.65</v>
      </c>
      <c r="S66" s="33" t="n">
        <v>41216</v>
      </c>
    </row>
    <row r="67" customFormat="false" ht="16.15" hidden="true" customHeight="false" outlineLevel="0" collapsed="false">
      <c r="A67" s="27" t="s">
        <v>118</v>
      </c>
      <c r="B67" s="28" t="s">
        <v>119</v>
      </c>
      <c r="C67" s="29" t="n">
        <v>55557</v>
      </c>
      <c r="D67" s="30" t="n">
        <v>14460</v>
      </c>
      <c r="E67" s="30" t="n">
        <v>13475</v>
      </c>
      <c r="F67" s="31" t="n">
        <f aca="false">SUM(E67/D67)</f>
        <v>0.931881051175657</v>
      </c>
      <c r="G67" s="31" t="str">
        <f aca="false">IF(F67&gt;69%, "GOOD", "POOR")</f>
        <v>GOOD</v>
      </c>
      <c r="H67" s="32" t="n">
        <v>2.5</v>
      </c>
      <c r="I67" s="32" t="n">
        <v>120</v>
      </c>
      <c r="J67" s="32" t="str">
        <f aca="false" t="array" ref="J67:J67">_xlfn.IFS(I67&gt;299,"High HP",I67&gt;99,"Medium HP",I67&lt;100,"Low HP")</f>
        <v>Medium HP</v>
      </c>
      <c r="K67" s="32" t="s">
        <v>64</v>
      </c>
      <c r="L67" s="32" t="n">
        <v>17</v>
      </c>
      <c r="M67" s="32" t="n">
        <v>48.67289791</v>
      </c>
      <c r="N67" s="32" t="n">
        <v>19</v>
      </c>
      <c r="O67" s="32" t="n">
        <v>93.4</v>
      </c>
      <c r="P67" s="32" t="n">
        <v>66.7</v>
      </c>
      <c r="Q67" s="32" t="n">
        <v>152</v>
      </c>
      <c r="R67" s="32" t="n">
        <v>3.045</v>
      </c>
      <c r="S67" s="33" t="n">
        <v>40972</v>
      </c>
    </row>
    <row r="68" customFormat="false" ht="16.15" hidden="true" customHeight="false" outlineLevel="0" collapsed="false">
      <c r="A68" s="27" t="s">
        <v>118</v>
      </c>
      <c r="B68" s="28" t="s">
        <v>120</v>
      </c>
      <c r="C68" s="29" t="n">
        <v>80556</v>
      </c>
      <c r="D68" s="30" t="n">
        <v>21620</v>
      </c>
      <c r="E68" s="30" t="n">
        <v>13775</v>
      </c>
      <c r="F68" s="31" t="n">
        <f aca="false">SUM(E68/D68)</f>
        <v>0.637141535615171</v>
      </c>
      <c r="G68" s="31" t="str">
        <f aca="false">IF(F68&gt;69%, "GOOD", "POOR")</f>
        <v>POOR</v>
      </c>
      <c r="H68" s="32" t="n">
        <v>4</v>
      </c>
      <c r="I68" s="32" t="n">
        <v>190</v>
      </c>
      <c r="J68" s="32" t="str">
        <f aca="false" t="array" ref="J68:J68">_xlfn.IFS(I68&gt;299,"High HP",I68&gt;99,"Medium HP",I68&lt;100,"Low HP")</f>
        <v>Medium HP</v>
      </c>
      <c r="K68" s="32" t="s">
        <v>64</v>
      </c>
      <c r="L68" s="32" t="n">
        <v>20</v>
      </c>
      <c r="M68" s="32" t="n">
        <v>76.58443962</v>
      </c>
      <c r="N68" s="32" t="n">
        <v>20</v>
      </c>
      <c r="O68" s="32" t="n">
        <v>101.4</v>
      </c>
      <c r="P68" s="32" t="n">
        <v>69.4</v>
      </c>
      <c r="Q68" s="32" t="n">
        <v>167.5</v>
      </c>
      <c r="R68" s="32" t="n">
        <v>3.194</v>
      </c>
      <c r="S68" s="33" t="n">
        <v>41187</v>
      </c>
    </row>
    <row r="69" customFormat="false" ht="16.15" hidden="true" customHeight="false" outlineLevel="0" collapsed="false">
      <c r="A69" s="27" t="s">
        <v>118</v>
      </c>
      <c r="B69" s="28" t="s">
        <v>121</v>
      </c>
      <c r="C69" s="29" t="n">
        <v>157040</v>
      </c>
      <c r="D69" s="30" t="n">
        <v>26895</v>
      </c>
      <c r="E69" s="30" t="n">
        <v>18810</v>
      </c>
      <c r="F69" s="31" t="n">
        <f aca="false">SUM(E69/D69)</f>
        <v>0.699386503067485</v>
      </c>
      <c r="G69" s="31" t="str">
        <f aca="false">IF(F69&gt;69%, "GOOD", "POOR")</f>
        <v>GOOD</v>
      </c>
      <c r="H69" s="32" t="n">
        <v>4</v>
      </c>
      <c r="I69" s="32" t="n">
        <v>195</v>
      </c>
      <c r="J69" s="32" t="str">
        <f aca="false" t="array" ref="J69:J69">_xlfn.IFS(I69&gt;299,"High HP",I69&gt;99,"Medium HP",I69&lt;100,"Low HP")</f>
        <v>Medium HP</v>
      </c>
      <c r="K69" s="32" t="s">
        <v>64</v>
      </c>
      <c r="L69" s="32" t="n">
        <v>19</v>
      </c>
      <c r="M69" s="32" t="n">
        <v>80.38777912</v>
      </c>
      <c r="N69" s="32" t="n">
        <v>20.5</v>
      </c>
      <c r="O69" s="32" t="n">
        <v>105.9</v>
      </c>
      <c r="P69" s="32" t="n">
        <v>72.3</v>
      </c>
      <c r="Q69" s="32" t="n">
        <v>181.5</v>
      </c>
      <c r="R69" s="32" t="n">
        <v>3.88</v>
      </c>
      <c r="S69" s="33" t="n">
        <v>40887</v>
      </c>
    </row>
    <row r="70" customFormat="false" ht="16.15" hidden="true" customHeight="false" outlineLevel="0" collapsed="false">
      <c r="A70" s="27" t="s">
        <v>5</v>
      </c>
      <c r="B70" s="28" t="s">
        <v>122</v>
      </c>
      <c r="C70" s="29" t="n">
        <v>24072</v>
      </c>
      <c r="D70" s="30" t="n">
        <v>31505</v>
      </c>
      <c r="E70" s="30" t="n">
        <v>26975</v>
      </c>
      <c r="F70" s="31" t="n">
        <f aca="false">SUM(E70/D70)</f>
        <v>0.856213299476274</v>
      </c>
      <c r="G70" s="31" t="str">
        <f aca="false">IF(F70&gt;69%, "GOOD", "POOR")</f>
        <v>GOOD</v>
      </c>
      <c r="H70" s="32" t="n">
        <v>3</v>
      </c>
      <c r="I70" s="32" t="n">
        <v>210</v>
      </c>
      <c r="J70" s="32" t="str">
        <f aca="false" t="array" ref="J70:J70">_xlfn.IFS(I70&gt;299,"High HP",I70&gt;99,"Medium HP",I70&lt;100,"Low HP")</f>
        <v>Medium HP</v>
      </c>
      <c r="K70" s="32" t="s">
        <v>42</v>
      </c>
      <c r="L70" s="32" t="n">
        <v>23</v>
      </c>
      <c r="M70" s="32" t="n">
        <v>87.21100104</v>
      </c>
      <c r="N70" s="32" t="n">
        <v>18.5</v>
      </c>
      <c r="O70" s="32" t="n">
        <v>105.1</v>
      </c>
      <c r="P70" s="32" t="n">
        <v>70.5</v>
      </c>
      <c r="Q70" s="32" t="n">
        <v>190.2</v>
      </c>
      <c r="R70" s="32" t="n">
        <v>3.373</v>
      </c>
      <c r="S70" s="33" t="n">
        <v>41099</v>
      </c>
    </row>
    <row r="71" customFormat="false" ht="16.15" hidden="true" customHeight="false" outlineLevel="0" collapsed="false">
      <c r="A71" s="27" t="s">
        <v>5</v>
      </c>
      <c r="B71" s="28" t="s">
        <v>123</v>
      </c>
      <c r="C71" s="29" t="n">
        <v>12698</v>
      </c>
      <c r="D71" s="30" t="n">
        <v>37805</v>
      </c>
      <c r="E71" s="30" t="n">
        <v>32075</v>
      </c>
      <c r="F71" s="31" t="n">
        <f aca="false">SUM(E71/D71)</f>
        <v>0.848432746991139</v>
      </c>
      <c r="G71" s="31" t="str">
        <f aca="false">IF(F71&gt;69%, "GOOD", "POOR")</f>
        <v>GOOD</v>
      </c>
      <c r="H71" s="32" t="n">
        <v>3</v>
      </c>
      <c r="I71" s="32" t="n">
        <v>225</v>
      </c>
      <c r="J71" s="32" t="str">
        <f aca="false" t="array" ref="J71:J71">_xlfn.IFS(I71&gt;299,"High HP",I71&gt;99,"Medium HP",I71&lt;100,"Low HP")</f>
        <v>Medium HP</v>
      </c>
      <c r="K71" s="32" t="s">
        <v>42</v>
      </c>
      <c r="L71" s="32" t="n">
        <v>23</v>
      </c>
      <c r="M71" s="32" t="n">
        <v>94.9466984</v>
      </c>
      <c r="N71" s="32" t="n">
        <v>19.8</v>
      </c>
      <c r="O71" s="32" t="n">
        <v>110.2</v>
      </c>
      <c r="P71" s="32" t="n">
        <v>70.9</v>
      </c>
      <c r="Q71" s="32" t="n">
        <v>189.2</v>
      </c>
      <c r="R71" s="32" t="n">
        <v>3.638</v>
      </c>
      <c r="S71" s="33" t="n">
        <v>41039</v>
      </c>
    </row>
    <row r="72" customFormat="false" ht="16.15" hidden="true" customHeight="false" outlineLevel="0" collapsed="false">
      <c r="A72" s="27" t="s">
        <v>5</v>
      </c>
      <c r="B72" s="28" t="s">
        <v>124</v>
      </c>
      <c r="C72" s="29" t="n">
        <v>3334</v>
      </c>
      <c r="D72" s="30" t="n">
        <v>46305</v>
      </c>
      <c r="E72" s="30" t="n">
        <v>38955</v>
      </c>
      <c r="F72" s="31" t="n">
        <f aca="false">SUM(E72/D72)</f>
        <v>0.841269841269841</v>
      </c>
      <c r="G72" s="31" t="str">
        <f aca="false">IF(F72&gt;69%, "GOOD", "POOR")</f>
        <v>GOOD</v>
      </c>
      <c r="H72" s="32" t="n">
        <v>4</v>
      </c>
      <c r="I72" s="32" t="n">
        <v>300</v>
      </c>
      <c r="J72" s="32" t="str">
        <f aca="false" t="array" ref="J72:J72">_xlfn.IFS(I72&gt;299,"High HP",I72&gt;99,"Medium HP",I72&lt;100,"Low HP")</f>
        <v>High HP</v>
      </c>
      <c r="K72" s="32" t="s">
        <v>42</v>
      </c>
      <c r="L72" s="32" t="n">
        <v>21</v>
      </c>
      <c r="M72" s="32" t="n">
        <v>125.0133574</v>
      </c>
      <c r="N72" s="32" t="n">
        <v>19.8</v>
      </c>
      <c r="O72" s="32" t="n">
        <v>110.2</v>
      </c>
      <c r="P72" s="32" t="n">
        <v>70.9</v>
      </c>
      <c r="Q72" s="32" t="n">
        <v>189.2</v>
      </c>
      <c r="R72" s="32" t="n">
        <v>3.693</v>
      </c>
      <c r="S72" s="33" t="n">
        <v>41241</v>
      </c>
    </row>
    <row r="73" customFormat="false" ht="16.15" hidden="true" customHeight="false" outlineLevel="0" collapsed="false">
      <c r="A73" s="27" t="s">
        <v>5</v>
      </c>
      <c r="B73" s="28" t="s">
        <v>125</v>
      </c>
      <c r="C73" s="29" t="n">
        <v>6375</v>
      </c>
      <c r="D73" s="30" t="n">
        <v>54005</v>
      </c>
      <c r="E73" s="30" t="n">
        <v>40375</v>
      </c>
      <c r="F73" s="31" t="n">
        <f aca="false">SUM(E73/D73)</f>
        <v>0.747615961485048</v>
      </c>
      <c r="G73" s="31" t="str">
        <f aca="false">IF(F73&gt;69%, "GOOD", "POOR")</f>
        <v>GOOD</v>
      </c>
      <c r="H73" s="32" t="n">
        <v>4</v>
      </c>
      <c r="I73" s="32" t="n">
        <v>290</v>
      </c>
      <c r="J73" s="32" t="str">
        <f aca="false" t="array" ref="J73:J73">_xlfn.IFS(I73&gt;299,"High HP",I73&gt;99,"Medium HP",I73&lt;100,"Low HP")</f>
        <v>Medium HP</v>
      </c>
      <c r="K73" s="32" t="s">
        <v>42</v>
      </c>
      <c r="L73" s="32" t="n">
        <v>22</v>
      </c>
      <c r="M73" s="32" t="n">
        <v>124.4467163</v>
      </c>
      <c r="N73" s="32" t="n">
        <v>22.5</v>
      </c>
      <c r="O73" s="32" t="n">
        <v>112.2</v>
      </c>
      <c r="P73" s="32" t="n">
        <v>72</v>
      </c>
      <c r="Q73" s="32" t="n">
        <v>196.7</v>
      </c>
      <c r="R73" s="32" t="n">
        <v>3.89</v>
      </c>
      <c r="S73" s="33" t="n">
        <v>40997</v>
      </c>
    </row>
    <row r="74" customFormat="false" ht="16.15" hidden="true" customHeight="false" outlineLevel="0" collapsed="false">
      <c r="A74" s="27" t="s">
        <v>5</v>
      </c>
      <c r="B74" s="28" t="s">
        <v>126</v>
      </c>
      <c r="C74" s="29" t="n">
        <v>9126</v>
      </c>
      <c r="D74" s="30" t="n">
        <v>60105</v>
      </c>
      <c r="E74" s="30" t="n">
        <v>43870</v>
      </c>
      <c r="F74" s="31" t="n">
        <f aca="false">SUM(E74/D74)</f>
        <v>0.729889360286166</v>
      </c>
      <c r="G74" s="31" t="str">
        <f aca="false">IF(F74&gt;69%, "GOOD", "POOR")</f>
        <v>GOOD</v>
      </c>
      <c r="H74" s="32" t="n">
        <v>4.7</v>
      </c>
      <c r="I74" s="32" t="n">
        <v>230</v>
      </c>
      <c r="J74" s="32" t="str">
        <f aca="false" t="array" ref="J74:J74">_xlfn.IFS(I74&gt;299,"High HP",I74&gt;99,"Medium HP",I74&lt;100,"Low HP")</f>
        <v>Medium HP</v>
      </c>
      <c r="K74" s="32" t="s">
        <v>64</v>
      </c>
      <c r="L74" s="32" t="n">
        <v>15</v>
      </c>
      <c r="M74" s="32" t="n">
        <v>105.760458</v>
      </c>
      <c r="N74" s="32" t="n">
        <v>25.4</v>
      </c>
      <c r="O74" s="32" t="n">
        <v>112.2</v>
      </c>
      <c r="P74" s="32" t="n">
        <v>76.4</v>
      </c>
      <c r="Q74" s="32" t="n">
        <v>192.5</v>
      </c>
      <c r="R74" s="32" t="n">
        <v>5.401</v>
      </c>
      <c r="S74" s="33" t="n">
        <v>41212</v>
      </c>
    </row>
    <row r="75" customFormat="false" ht="16.15" hidden="true" customHeight="false" outlineLevel="0" collapsed="false">
      <c r="A75" s="27" t="s">
        <v>5</v>
      </c>
      <c r="B75" s="28" t="s">
        <v>127</v>
      </c>
      <c r="C75" s="29" t="n">
        <v>51238</v>
      </c>
      <c r="D75" s="30" t="n">
        <v>34605</v>
      </c>
      <c r="E75" s="30" t="n">
        <v>29140</v>
      </c>
      <c r="F75" s="31" t="n">
        <f aca="false">SUM(E75/D75)</f>
        <v>0.842074844675625</v>
      </c>
      <c r="G75" s="31" t="str">
        <f aca="false">IF(F75&gt;69%, "GOOD", "POOR")</f>
        <v>GOOD</v>
      </c>
      <c r="H75" s="32" t="n">
        <v>3</v>
      </c>
      <c r="I75" s="32" t="n">
        <v>220</v>
      </c>
      <c r="J75" s="32" t="str">
        <f aca="false" t="array" ref="J75:J75">_xlfn.IFS(I75&gt;299,"High HP",I75&gt;99,"Medium HP",I75&lt;100,"Low HP")</f>
        <v>Medium HP</v>
      </c>
      <c r="K75" s="32" t="s">
        <v>64</v>
      </c>
      <c r="L75" s="32" t="n">
        <v>21</v>
      </c>
      <c r="M75" s="32" t="n">
        <v>91.94380156</v>
      </c>
      <c r="N75" s="32" t="n">
        <v>17.2</v>
      </c>
      <c r="O75" s="32" t="n">
        <v>103</v>
      </c>
      <c r="P75" s="32" t="n">
        <v>71.5</v>
      </c>
      <c r="Q75" s="32" t="n">
        <v>180.1</v>
      </c>
      <c r="R75" s="32" t="n">
        <v>3.9</v>
      </c>
      <c r="S75" s="33" t="n">
        <v>40912</v>
      </c>
    </row>
    <row r="76" customFormat="false" ht="16.15" hidden="true" customHeight="false" outlineLevel="0" collapsed="false">
      <c r="A76" s="27" t="s">
        <v>128</v>
      </c>
      <c r="B76" s="28" t="s">
        <v>129</v>
      </c>
      <c r="C76" s="29" t="n">
        <v>13798</v>
      </c>
      <c r="D76" s="30" t="n">
        <v>39080</v>
      </c>
      <c r="E76" s="30" t="n">
        <v>20525</v>
      </c>
      <c r="F76" s="31" t="n">
        <f aca="false">SUM(E76/D76)</f>
        <v>0.525204708290686</v>
      </c>
      <c r="G76" s="31" t="str">
        <f aca="false">IF(F76&gt;69%, "GOOD", "POOR")</f>
        <v>POOR</v>
      </c>
      <c r="H76" s="32" t="n">
        <v>4.6</v>
      </c>
      <c r="I76" s="32" t="n">
        <v>275</v>
      </c>
      <c r="J76" s="32" t="str">
        <f aca="false" t="array" ref="J76:J76">_xlfn.IFS(I76&gt;299,"High HP",I76&gt;99,"Medium HP",I76&lt;100,"Low HP")</f>
        <v>Medium HP</v>
      </c>
      <c r="K76" s="32" t="s">
        <v>42</v>
      </c>
      <c r="L76" s="32" t="n">
        <v>22</v>
      </c>
      <c r="M76" s="32" t="n">
        <v>113.5402069</v>
      </c>
      <c r="N76" s="32" t="n">
        <v>20</v>
      </c>
      <c r="O76" s="32" t="n">
        <v>109</v>
      </c>
      <c r="P76" s="32" t="n">
        <v>73.6</v>
      </c>
      <c r="Q76" s="32" t="n">
        <v>208.5</v>
      </c>
      <c r="R76" s="32" t="n">
        <v>3.868</v>
      </c>
      <c r="S76" s="33" t="n">
        <v>41124</v>
      </c>
    </row>
    <row r="77" customFormat="false" ht="16.15" hidden="true" customHeight="false" outlineLevel="0" collapsed="false">
      <c r="A77" s="27" t="s">
        <v>128</v>
      </c>
      <c r="B77" s="28" t="s">
        <v>130</v>
      </c>
      <c r="C77" s="29" t="n">
        <v>48911</v>
      </c>
      <c r="D77" s="30" t="n">
        <v>43330</v>
      </c>
      <c r="E77" s="30" t="n">
        <v>21725</v>
      </c>
      <c r="F77" s="31" t="n">
        <f aca="false">SUM(E77/D77)</f>
        <v>0.501384721901685</v>
      </c>
      <c r="G77" s="31" t="str">
        <f aca="false">IF(F77&gt;69%, "GOOD", "POOR")</f>
        <v>POOR</v>
      </c>
      <c r="H77" s="32" t="n">
        <v>4.6</v>
      </c>
      <c r="I77" s="32" t="n">
        <v>215</v>
      </c>
      <c r="J77" s="32" t="str">
        <f aca="false" t="array" ref="J77:J77">_xlfn.IFS(I77&gt;299,"High HP",I77&gt;99,"Medium HP",I77&lt;100,"Low HP")</f>
        <v>Medium HP</v>
      </c>
      <c r="K77" s="32" t="s">
        <v>42</v>
      </c>
      <c r="L77" s="32" t="n">
        <v>21</v>
      </c>
      <c r="M77" s="32" t="n">
        <v>93.9579169</v>
      </c>
      <c r="N77" s="32" t="n">
        <v>19</v>
      </c>
      <c r="O77" s="32" t="n">
        <v>117.7</v>
      </c>
      <c r="P77" s="32" t="n">
        <v>78.2</v>
      </c>
      <c r="Q77" s="32" t="n">
        <v>215.3</v>
      </c>
      <c r="R77" s="32" t="n">
        <v>4.121</v>
      </c>
      <c r="S77" s="33" t="n">
        <v>41064</v>
      </c>
    </row>
    <row r="78" customFormat="false" ht="16.15" hidden="true" customHeight="false" outlineLevel="0" collapsed="false">
      <c r="A78" s="27" t="s">
        <v>128</v>
      </c>
      <c r="B78" s="28" t="s">
        <v>131</v>
      </c>
      <c r="C78" s="29" t="n">
        <v>22925</v>
      </c>
      <c r="D78" s="30" t="n">
        <v>42660</v>
      </c>
      <c r="E78" s="30" t="n">
        <v>20765</v>
      </c>
      <c r="F78" s="31" t="n">
        <f aca="false">SUM(E78/D78)</f>
        <v>0.486755743084857</v>
      </c>
      <c r="G78" s="31" t="str">
        <f aca="false">IF(F78&gt;69%, "GOOD", "POOR")</f>
        <v>POOR</v>
      </c>
      <c r="H78" s="32" t="n">
        <v>5.4</v>
      </c>
      <c r="I78" s="32" t="n">
        <v>300</v>
      </c>
      <c r="J78" s="32" t="str">
        <f aca="false" t="array" ref="J78:J78">_xlfn.IFS(I78&gt;299,"High HP",I78&gt;99,"Medium HP",I78&lt;100,"Low HP")</f>
        <v>High HP</v>
      </c>
      <c r="K78" s="32" t="s">
        <v>64</v>
      </c>
      <c r="L78" s="32" t="n">
        <v>15</v>
      </c>
      <c r="M78" s="32" t="n">
        <v>123.9720467</v>
      </c>
      <c r="N78" s="32" t="n">
        <v>30</v>
      </c>
      <c r="O78" s="32" t="n">
        <v>119</v>
      </c>
      <c r="P78" s="32" t="n">
        <v>79.9</v>
      </c>
      <c r="Q78" s="32" t="n">
        <v>204.8</v>
      </c>
      <c r="R78" s="32" t="n">
        <v>5.393</v>
      </c>
      <c r="S78" s="33" t="n">
        <v>41266</v>
      </c>
    </row>
    <row r="79" customFormat="false" ht="16.15" hidden="true" customHeight="false" outlineLevel="0" collapsed="false">
      <c r="A79" s="27" t="s">
        <v>6</v>
      </c>
      <c r="B79" s="28" t="s">
        <v>132</v>
      </c>
      <c r="C79" s="29" t="n">
        <v>26232</v>
      </c>
      <c r="D79" s="30" t="n">
        <v>13987</v>
      </c>
      <c r="E79" s="30" t="n">
        <v>8325</v>
      </c>
      <c r="F79" s="31" t="n">
        <f aca="false">SUM(E79/D79)</f>
        <v>0.595195538714521</v>
      </c>
      <c r="G79" s="31" t="str">
        <f aca="false">IF(F79&gt;69%, "GOOD", "POOR")</f>
        <v>POOR</v>
      </c>
      <c r="H79" s="32" t="n">
        <v>1.8</v>
      </c>
      <c r="I79" s="32" t="n">
        <v>113</v>
      </c>
      <c r="J79" s="32" t="str">
        <f aca="false" t="array" ref="J79:J79">_xlfn.IFS(I79&gt;299,"High HP",I79&gt;99,"Medium HP",I79&lt;100,"Low HP")</f>
        <v>Medium HP</v>
      </c>
      <c r="K79" s="32" t="s">
        <v>42</v>
      </c>
      <c r="L79" s="32" t="n">
        <v>30</v>
      </c>
      <c r="M79" s="32" t="n">
        <v>45.83218056</v>
      </c>
      <c r="N79" s="32" t="n">
        <v>13.2</v>
      </c>
      <c r="O79" s="32" t="n">
        <v>98.4</v>
      </c>
      <c r="P79" s="32" t="n">
        <v>66.5</v>
      </c>
      <c r="Q79" s="32" t="n">
        <v>173.6</v>
      </c>
      <c r="R79" s="32" t="n">
        <v>2.25</v>
      </c>
      <c r="S79" s="33" t="n">
        <v>41022</v>
      </c>
    </row>
    <row r="80" customFormat="false" ht="16.15" hidden="true" customHeight="false" outlineLevel="0" collapsed="false">
      <c r="A80" s="27" t="s">
        <v>6</v>
      </c>
      <c r="B80" s="28" t="s">
        <v>133</v>
      </c>
      <c r="C80" s="29" t="n">
        <v>42541</v>
      </c>
      <c r="D80" s="30" t="n">
        <v>19047</v>
      </c>
      <c r="E80" s="30" t="n">
        <v>10395</v>
      </c>
      <c r="F80" s="31" t="n">
        <f aca="false">SUM(E80/D80)</f>
        <v>0.545755237045204</v>
      </c>
      <c r="G80" s="31" t="str">
        <f aca="false">IF(F80&gt;69%, "GOOD", "POOR")</f>
        <v>POOR</v>
      </c>
      <c r="H80" s="32" t="n">
        <v>2.4</v>
      </c>
      <c r="I80" s="32" t="n">
        <v>154</v>
      </c>
      <c r="J80" s="32" t="str">
        <f aca="false" t="array" ref="J80:J80">_xlfn.IFS(I80&gt;299,"High HP",I80&gt;99,"Medium HP",I80&lt;100,"Low HP")</f>
        <v>Medium HP</v>
      </c>
      <c r="K80" s="32" t="s">
        <v>42</v>
      </c>
      <c r="L80" s="32" t="n">
        <v>24</v>
      </c>
      <c r="M80" s="32" t="n">
        <v>62.44196235</v>
      </c>
      <c r="N80" s="32" t="n">
        <v>15.9</v>
      </c>
      <c r="O80" s="32" t="n">
        <v>100.8</v>
      </c>
      <c r="P80" s="32" t="n">
        <v>68.9</v>
      </c>
      <c r="Q80" s="32" t="n">
        <v>175.4</v>
      </c>
      <c r="R80" s="32" t="n">
        <v>2.91</v>
      </c>
      <c r="S80" s="33" t="n">
        <v>41237</v>
      </c>
    </row>
    <row r="81" customFormat="false" ht="16.15" hidden="true" customHeight="false" outlineLevel="0" collapsed="false">
      <c r="A81" s="27" t="s">
        <v>6</v>
      </c>
      <c r="B81" s="28" t="s">
        <v>134</v>
      </c>
      <c r="C81" s="29" t="n">
        <v>55616</v>
      </c>
      <c r="D81" s="30" t="n">
        <v>17357</v>
      </c>
      <c r="E81" s="30" t="n">
        <v>10595</v>
      </c>
      <c r="F81" s="31" t="n">
        <f aca="false">SUM(E81/D81)</f>
        <v>0.610416546638244</v>
      </c>
      <c r="G81" s="31" t="str">
        <f aca="false">IF(F81&gt;69%, "GOOD", "POOR")</f>
        <v>POOR</v>
      </c>
      <c r="H81" s="32" t="n">
        <v>2.4</v>
      </c>
      <c r="I81" s="32" t="n">
        <v>145</v>
      </c>
      <c r="J81" s="32" t="str">
        <f aca="false" t="array" ref="J81:J81">_xlfn.IFS(I81&gt;299,"High HP",I81&gt;99,"Medium HP",I81&lt;100,"Low HP")</f>
        <v>Medium HP</v>
      </c>
      <c r="K81" s="32" t="s">
        <v>42</v>
      </c>
      <c r="L81" s="32" t="n">
        <v>25</v>
      </c>
      <c r="M81" s="32" t="n">
        <v>58.60677292</v>
      </c>
      <c r="N81" s="32" t="n">
        <v>16.3</v>
      </c>
      <c r="O81" s="32" t="n">
        <v>103.7</v>
      </c>
      <c r="P81" s="32" t="n">
        <v>68.5</v>
      </c>
      <c r="Q81" s="32" t="n">
        <v>187.8</v>
      </c>
      <c r="R81" s="32" t="n">
        <v>2.945</v>
      </c>
      <c r="S81" s="33" t="n">
        <v>40937</v>
      </c>
    </row>
    <row r="82" customFormat="false" ht="16.15" hidden="true" customHeight="false" outlineLevel="0" collapsed="false">
      <c r="A82" s="27" t="s">
        <v>6</v>
      </c>
      <c r="B82" s="28" t="s">
        <v>135</v>
      </c>
      <c r="C82" s="29" t="n">
        <v>5711</v>
      </c>
      <c r="D82" s="30" t="n">
        <v>24997</v>
      </c>
      <c r="E82" s="30" t="n">
        <v>16575</v>
      </c>
      <c r="F82" s="31" t="n">
        <f aca="false">SUM(E82/D82)</f>
        <v>0.663079569548346</v>
      </c>
      <c r="G82" s="31" t="str">
        <f aca="false">IF(F82&gt;69%, "GOOD", "POOR")</f>
        <v>POOR</v>
      </c>
      <c r="H82" s="32" t="n">
        <v>3.5</v>
      </c>
      <c r="I82" s="32" t="n">
        <v>210</v>
      </c>
      <c r="J82" s="32" t="str">
        <f aca="false" t="array" ref="J82:J82">_xlfn.IFS(I82&gt;299,"High HP",I82&gt;99,"Medium HP",I82&lt;100,"Low HP")</f>
        <v>Medium HP</v>
      </c>
      <c r="K82" s="32" t="s">
        <v>42</v>
      </c>
      <c r="L82" s="32" t="n">
        <v>22</v>
      </c>
      <c r="M82" s="32" t="n">
        <v>84.83077858</v>
      </c>
      <c r="N82" s="32" t="n">
        <v>19</v>
      </c>
      <c r="O82" s="32" t="n">
        <v>107.1</v>
      </c>
      <c r="P82" s="32" t="n">
        <v>70.3</v>
      </c>
      <c r="Q82" s="32" t="n">
        <v>194.1</v>
      </c>
      <c r="R82" s="32" t="n">
        <v>3.443</v>
      </c>
      <c r="S82" s="33" t="n">
        <v>41149</v>
      </c>
    </row>
    <row r="83" customFormat="false" ht="16.15" hidden="true" customHeight="false" outlineLevel="0" collapsed="false">
      <c r="A83" s="27" t="s">
        <v>6</v>
      </c>
      <c r="B83" s="28" t="s">
        <v>136</v>
      </c>
      <c r="C83" s="29" t="n">
        <v>110</v>
      </c>
      <c r="D83" s="30" t="n">
        <v>25450</v>
      </c>
      <c r="E83" s="30" t="n">
        <v>20940</v>
      </c>
      <c r="F83" s="31" t="n">
        <f aca="false">SUM(E83/D83)</f>
        <v>0.82278978388998</v>
      </c>
      <c r="G83" s="31" t="str">
        <f aca="false">IF(F83&gt;69%, "GOOD", "POOR")</f>
        <v>GOOD</v>
      </c>
      <c r="H83" s="32" t="n">
        <v>3</v>
      </c>
      <c r="I83" s="32" t="n">
        <v>161</v>
      </c>
      <c r="J83" s="32" t="str">
        <f aca="false" t="array" ref="J83:J83">_xlfn.IFS(I83&gt;299,"High HP",I83&gt;99,"Medium HP",I83&lt;100,"Low HP")</f>
        <v>Medium HP</v>
      </c>
      <c r="K83" s="32" t="s">
        <v>42</v>
      </c>
      <c r="L83" s="32" t="n">
        <v>21</v>
      </c>
      <c r="M83" s="32" t="n">
        <v>67.54415494</v>
      </c>
      <c r="N83" s="32" t="n">
        <v>19.8</v>
      </c>
      <c r="O83" s="32" t="n">
        <v>97.2</v>
      </c>
      <c r="P83" s="32" t="n">
        <v>72.4</v>
      </c>
      <c r="Q83" s="32" t="n">
        <v>180.3</v>
      </c>
      <c r="R83" s="32" t="n">
        <v>3.131</v>
      </c>
      <c r="S83" s="33" t="n">
        <v>41089</v>
      </c>
    </row>
    <row r="84" customFormat="false" ht="16.15" hidden="true" customHeight="false" outlineLevel="0" collapsed="false">
      <c r="A84" s="27" t="s">
        <v>6</v>
      </c>
      <c r="B84" s="28" t="s">
        <v>137</v>
      </c>
      <c r="C84" s="29" t="n">
        <v>11337</v>
      </c>
      <c r="D84" s="30" t="n">
        <v>31807</v>
      </c>
      <c r="E84" s="30" t="n">
        <v>19125</v>
      </c>
      <c r="F84" s="31" t="n">
        <f aca="false">SUM(E84/D84)</f>
        <v>0.601282736504543</v>
      </c>
      <c r="G84" s="31" t="str">
        <f aca="false">IF(F84&gt;69%, "GOOD", "POOR")</f>
        <v>POOR</v>
      </c>
      <c r="H84" s="32" t="n">
        <v>3.5</v>
      </c>
      <c r="I84" s="32" t="n">
        <v>200</v>
      </c>
      <c r="J84" s="32" t="str">
        <f aca="false" t="array" ref="J84:J84">_xlfn.IFS(I84&gt;299,"High HP",I84&gt;99,"Medium HP",I84&lt;100,"Low HP")</f>
        <v>Medium HP</v>
      </c>
      <c r="K84" s="32" t="s">
        <v>64</v>
      </c>
      <c r="L84" s="32" t="n">
        <v>18</v>
      </c>
      <c r="M84" s="32" t="n">
        <v>83.92081504</v>
      </c>
      <c r="N84" s="32" t="n">
        <v>24.3</v>
      </c>
      <c r="O84" s="32" t="n">
        <v>107.3</v>
      </c>
      <c r="P84" s="32" t="n">
        <v>69.9</v>
      </c>
      <c r="Q84" s="32" t="n">
        <v>186.6</v>
      </c>
      <c r="R84" s="32" t="n">
        <v>4.52</v>
      </c>
      <c r="S84" s="33" t="n">
        <v>40925</v>
      </c>
    </row>
    <row r="85" customFormat="false" ht="16.15" hidden="true" customHeight="false" outlineLevel="0" collapsed="false">
      <c r="A85" s="27" t="s">
        <v>6</v>
      </c>
      <c r="B85" s="28" t="s">
        <v>138</v>
      </c>
      <c r="C85" s="29" t="n">
        <v>39348</v>
      </c>
      <c r="D85" s="30" t="n">
        <v>22527</v>
      </c>
      <c r="E85" s="30" t="n">
        <v>13880</v>
      </c>
      <c r="F85" s="31" t="n">
        <f aca="false">SUM(E85/D85)</f>
        <v>0.616149509477516</v>
      </c>
      <c r="G85" s="31" t="str">
        <f aca="false">IF(F85&gt;69%, "GOOD", "POOR")</f>
        <v>POOR</v>
      </c>
      <c r="H85" s="32" t="n">
        <v>3</v>
      </c>
      <c r="I85" s="32" t="n">
        <v>173</v>
      </c>
      <c r="J85" s="32" t="str">
        <f aca="false" t="array" ref="J85:J85">_xlfn.IFS(I85&gt;299,"High HP",I85&gt;99,"Medium HP",I85&lt;100,"Low HP")</f>
        <v>Medium HP</v>
      </c>
      <c r="K85" s="32" t="s">
        <v>64</v>
      </c>
      <c r="L85" s="32" t="n">
        <v>20</v>
      </c>
      <c r="M85" s="32" t="n">
        <v>70.66094179</v>
      </c>
      <c r="N85" s="32" t="n">
        <v>19.5</v>
      </c>
      <c r="O85" s="32" t="n">
        <v>107.3</v>
      </c>
      <c r="P85" s="32" t="n">
        <v>66.7</v>
      </c>
      <c r="Q85" s="32" t="n">
        <v>178.3</v>
      </c>
      <c r="R85" s="32" t="n">
        <v>3.51</v>
      </c>
      <c r="S85" s="33" t="n">
        <v>41047</v>
      </c>
    </row>
    <row r="86" customFormat="false" ht="16.15" hidden="true" customHeight="false" outlineLevel="0" collapsed="false">
      <c r="A86" s="27" t="s">
        <v>139</v>
      </c>
      <c r="B86" s="28" t="s">
        <v>140</v>
      </c>
      <c r="C86" s="29" t="n">
        <v>14351</v>
      </c>
      <c r="D86" s="30" t="n">
        <v>16240</v>
      </c>
      <c r="E86" s="30" t="n">
        <v>8800</v>
      </c>
      <c r="F86" s="31" t="n">
        <f aca="false">SUM(E86/D86)</f>
        <v>0.541871921182266</v>
      </c>
      <c r="G86" s="31" t="str">
        <f aca="false">IF(F86&gt;69%, "GOOD", "POOR")</f>
        <v>POOR</v>
      </c>
      <c r="H86" s="32" t="n">
        <v>2</v>
      </c>
      <c r="I86" s="32" t="n">
        <v>125</v>
      </c>
      <c r="J86" s="32" t="str">
        <f aca="false" t="array" ref="J86:J86">_xlfn.IFS(I86&gt;299,"High HP",I86&gt;99,"Medium HP",I86&lt;100,"Low HP")</f>
        <v>Medium HP</v>
      </c>
      <c r="K86" s="32" t="s">
        <v>42</v>
      </c>
      <c r="L86" s="32" t="n">
        <v>28</v>
      </c>
      <c r="M86" s="32" t="n">
        <v>50.99774761</v>
      </c>
      <c r="N86" s="32" t="n">
        <v>15</v>
      </c>
      <c r="O86" s="32" t="n">
        <v>106.5</v>
      </c>
      <c r="P86" s="32" t="n">
        <v>69.1</v>
      </c>
      <c r="Q86" s="32" t="n">
        <v>184.8</v>
      </c>
      <c r="R86" s="32" t="n">
        <v>2.769</v>
      </c>
      <c r="S86" s="33" t="n">
        <v>41262</v>
      </c>
    </row>
    <row r="87" customFormat="false" ht="16.15" hidden="true" customHeight="false" outlineLevel="0" collapsed="false">
      <c r="A87" s="27" t="s">
        <v>139</v>
      </c>
      <c r="B87" s="28" t="s">
        <v>141</v>
      </c>
      <c r="C87" s="29" t="n">
        <v>26529</v>
      </c>
      <c r="D87" s="30" t="n">
        <v>16540</v>
      </c>
      <c r="E87" s="30" t="n">
        <v>13890</v>
      </c>
      <c r="F87" s="31" t="n">
        <f aca="false">SUM(E87/D87)</f>
        <v>0.839782345828295</v>
      </c>
      <c r="G87" s="31" t="str">
        <f aca="false">IF(F87&gt;69%, "GOOD", "POOR")</f>
        <v>GOOD</v>
      </c>
      <c r="H87" s="32" t="n">
        <v>2</v>
      </c>
      <c r="I87" s="32" t="n">
        <v>125</v>
      </c>
      <c r="J87" s="32" t="str">
        <f aca="false" t="array" ref="J87:J87">_xlfn.IFS(I87&gt;299,"High HP",I87&gt;99,"Medium HP",I87&lt;100,"Low HP")</f>
        <v>Medium HP</v>
      </c>
      <c r="K87" s="32" t="s">
        <v>42</v>
      </c>
      <c r="L87" s="32" t="n">
        <v>30</v>
      </c>
      <c r="M87" s="32" t="n">
        <v>51.11347426</v>
      </c>
      <c r="N87" s="32" t="n">
        <v>16</v>
      </c>
      <c r="O87" s="32" t="n">
        <v>106.4</v>
      </c>
      <c r="P87" s="32" t="n">
        <v>69.6</v>
      </c>
      <c r="Q87" s="32" t="n">
        <v>185</v>
      </c>
      <c r="R87" s="32" t="n">
        <v>2.892</v>
      </c>
      <c r="S87" s="33" t="n">
        <v>40962</v>
      </c>
    </row>
    <row r="88" customFormat="false" ht="16.15" hidden="true" customHeight="false" outlineLevel="0" collapsed="false">
      <c r="A88" s="27" t="s">
        <v>139</v>
      </c>
      <c r="B88" s="28" t="s">
        <v>142</v>
      </c>
      <c r="C88" s="29" t="n">
        <v>67956</v>
      </c>
      <c r="D88" s="30" t="n">
        <v>19035</v>
      </c>
      <c r="E88" s="30" t="n">
        <v>11030</v>
      </c>
      <c r="F88" s="31" t="n">
        <f aca="false">SUM(E88/D88)</f>
        <v>0.579458891515629</v>
      </c>
      <c r="G88" s="31" t="str">
        <f aca="false">IF(F88&gt;69%, "GOOD", "POOR")</f>
        <v>POOR</v>
      </c>
      <c r="H88" s="32" t="n">
        <v>3</v>
      </c>
      <c r="I88" s="32" t="n">
        <v>153</v>
      </c>
      <c r="J88" s="32" t="str">
        <f aca="false" t="array" ref="J88:J88">_xlfn.IFS(I88&gt;299,"High HP",I88&gt;99,"Medium HP",I88&lt;100,"Low HP")</f>
        <v>Medium HP</v>
      </c>
      <c r="K88" s="32" t="s">
        <v>42</v>
      </c>
      <c r="L88" s="32" t="n">
        <v>24</v>
      </c>
      <c r="M88" s="32" t="n">
        <v>62.23996663</v>
      </c>
      <c r="N88" s="32" t="n">
        <v>16</v>
      </c>
      <c r="O88" s="32" t="n">
        <v>108.5</v>
      </c>
      <c r="P88" s="32" t="n">
        <v>73</v>
      </c>
      <c r="Q88" s="32" t="n">
        <v>199.7</v>
      </c>
      <c r="R88" s="32" t="n">
        <v>3.379</v>
      </c>
      <c r="S88" s="33" t="n">
        <v>41174</v>
      </c>
    </row>
    <row r="89" customFormat="false" ht="16.15" hidden="true" customHeight="false" outlineLevel="0" collapsed="false">
      <c r="A89" s="27" t="s">
        <v>139</v>
      </c>
      <c r="B89" s="28" t="s">
        <v>143</v>
      </c>
      <c r="C89" s="29" t="n">
        <v>81174</v>
      </c>
      <c r="D89" s="30" t="n">
        <v>22605</v>
      </c>
      <c r="E89" s="30" t="n">
        <v>14875</v>
      </c>
      <c r="F89" s="31" t="n">
        <f aca="false">SUM(E89/D89)</f>
        <v>0.658040256580403</v>
      </c>
      <c r="G89" s="31" t="str">
        <f aca="false">IF(F89&gt;69%, "GOOD", "POOR")</f>
        <v>POOR</v>
      </c>
      <c r="H89" s="32" t="n">
        <v>4.6</v>
      </c>
      <c r="I89" s="32" t="n">
        <v>200</v>
      </c>
      <c r="J89" s="32" t="str">
        <f aca="false" t="array" ref="J89:J89">_xlfn.IFS(I89&gt;299,"High HP",I89&gt;99,"Medium HP",I89&lt;100,"Low HP")</f>
        <v>Medium HP</v>
      </c>
      <c r="K89" s="32" t="s">
        <v>42</v>
      </c>
      <c r="L89" s="32" t="n">
        <v>21</v>
      </c>
      <c r="M89" s="32" t="n">
        <v>80.65769646</v>
      </c>
      <c r="N89" s="32" t="n">
        <v>19</v>
      </c>
      <c r="O89" s="32" t="n">
        <v>114.7</v>
      </c>
      <c r="P89" s="32" t="n">
        <v>78.2</v>
      </c>
      <c r="Q89" s="32" t="n">
        <v>212</v>
      </c>
      <c r="R89" s="32" t="n">
        <v>3.958</v>
      </c>
      <c r="S89" s="33" t="n">
        <v>41114</v>
      </c>
    </row>
    <row r="90" customFormat="false" ht="16.15" hidden="true" customHeight="false" outlineLevel="0" collapsed="false">
      <c r="A90" s="27" t="s">
        <v>139</v>
      </c>
      <c r="B90" s="28" t="s">
        <v>144</v>
      </c>
      <c r="C90" s="29" t="n">
        <v>27609</v>
      </c>
      <c r="D90" s="30" t="n">
        <v>27560</v>
      </c>
      <c r="E90" s="30" t="n">
        <v>20430</v>
      </c>
      <c r="F90" s="31" t="n">
        <f aca="false">SUM(E90/D90)</f>
        <v>0.741291727140784</v>
      </c>
      <c r="G90" s="31" t="str">
        <f aca="false">IF(F90&gt;69%, "GOOD", "POOR")</f>
        <v>GOOD</v>
      </c>
      <c r="H90" s="32" t="n">
        <v>4</v>
      </c>
      <c r="I90" s="32" t="n">
        <v>210</v>
      </c>
      <c r="J90" s="32" t="str">
        <f aca="false" t="array" ref="J90:J90">_xlfn.IFS(I90&gt;299,"High HP",I90&gt;99,"Medium HP",I90&lt;100,"Low HP")</f>
        <v>Medium HP</v>
      </c>
      <c r="K90" s="32" t="s">
        <v>64</v>
      </c>
      <c r="L90" s="32" t="n">
        <v>18</v>
      </c>
      <c r="M90" s="32" t="n">
        <v>85.94974425</v>
      </c>
      <c r="N90" s="32" t="n">
        <v>21</v>
      </c>
      <c r="O90" s="32" t="n">
        <v>111.6</v>
      </c>
      <c r="P90" s="32" t="n">
        <v>70.2</v>
      </c>
      <c r="Q90" s="32" t="n">
        <v>190.1</v>
      </c>
      <c r="R90" s="32" t="n">
        <v>3.876</v>
      </c>
      <c r="S90" s="33" t="n">
        <v>39491</v>
      </c>
    </row>
    <row r="91" customFormat="false" ht="16.15" hidden="true" customHeight="false" outlineLevel="0" collapsed="false">
      <c r="A91" s="27" t="s">
        <v>139</v>
      </c>
      <c r="B91" s="28" t="s">
        <v>145</v>
      </c>
      <c r="C91" s="29" t="n">
        <v>20380</v>
      </c>
      <c r="D91" s="30" t="n">
        <v>22510</v>
      </c>
      <c r="E91" s="30" t="n">
        <v>14795</v>
      </c>
      <c r="F91" s="31" t="n">
        <f aca="false">SUM(E91/D91)</f>
        <v>0.65726343847179</v>
      </c>
      <c r="G91" s="31" t="str">
        <f aca="false">IF(F91&gt;69%, "GOOD", "POOR")</f>
        <v>POOR</v>
      </c>
      <c r="H91" s="32" t="n">
        <v>3.3</v>
      </c>
      <c r="I91" s="32" t="n">
        <v>170</v>
      </c>
      <c r="J91" s="32" t="str">
        <f aca="false" t="array" ref="J91:J91">_xlfn.IFS(I91&gt;299,"High HP",I91&gt;99,"Medium HP",I91&lt;100,"Low HP")</f>
        <v>Medium HP</v>
      </c>
      <c r="K91" s="32" t="s">
        <v>64</v>
      </c>
      <c r="L91" s="32" t="n">
        <v>21</v>
      </c>
      <c r="M91" s="32" t="n">
        <v>69.671461</v>
      </c>
      <c r="N91" s="32" t="n">
        <v>20</v>
      </c>
      <c r="O91" s="32" t="n">
        <v>112.2</v>
      </c>
      <c r="P91" s="32" t="n">
        <v>74.9</v>
      </c>
      <c r="Q91" s="32" t="n">
        <v>194.7</v>
      </c>
      <c r="R91" s="32" t="n">
        <v>3.944</v>
      </c>
      <c r="S91" s="33" t="n">
        <v>40106</v>
      </c>
    </row>
    <row r="92" customFormat="false" ht="16.15" hidden="true" customHeight="false" outlineLevel="0" collapsed="false">
      <c r="A92" s="27" t="s">
        <v>146</v>
      </c>
      <c r="B92" s="28" t="s">
        <v>147</v>
      </c>
      <c r="C92" s="29" t="n">
        <v>18392</v>
      </c>
      <c r="D92" s="30" t="n">
        <v>31750</v>
      </c>
      <c r="E92" s="30" t="n">
        <v>26050</v>
      </c>
      <c r="F92" s="31" t="n">
        <f aca="false">SUM(E92/D92)</f>
        <v>0.820472440944882</v>
      </c>
      <c r="G92" s="31" t="str">
        <f aca="false">IF(F92&gt;69%, "GOOD", "POOR")</f>
        <v>GOOD</v>
      </c>
      <c r="H92" s="32" t="n">
        <v>2.3</v>
      </c>
      <c r="I92" s="32" t="n">
        <v>185</v>
      </c>
      <c r="J92" s="32" t="str">
        <f aca="false" t="array" ref="J92:J92">_xlfn.IFS(I92&gt;299,"High HP",I92&gt;99,"Medium HP",I92&lt;100,"Low HP")</f>
        <v>Medium HP</v>
      </c>
      <c r="K92" s="32" t="s">
        <v>42</v>
      </c>
      <c r="L92" s="32" t="n">
        <v>26</v>
      </c>
      <c r="M92" s="32" t="n">
        <v>78.28073088</v>
      </c>
      <c r="N92" s="32" t="n">
        <v>16.4</v>
      </c>
      <c r="O92" s="32" t="n">
        <v>105.9</v>
      </c>
      <c r="P92" s="32" t="n">
        <v>67.7</v>
      </c>
      <c r="Q92" s="32" t="n">
        <v>177.4</v>
      </c>
      <c r="R92" s="32" t="n">
        <v>3.25</v>
      </c>
      <c r="S92" s="33" t="n">
        <v>40657</v>
      </c>
    </row>
    <row r="93" customFormat="false" ht="16.15" hidden="true" customHeight="false" outlineLevel="0" collapsed="false">
      <c r="A93" s="27" t="s">
        <v>146</v>
      </c>
      <c r="B93" s="28" t="s">
        <v>148</v>
      </c>
      <c r="C93" s="29" t="n">
        <v>27602</v>
      </c>
      <c r="D93" s="30" t="n">
        <v>49900</v>
      </c>
      <c r="E93" s="30" t="n">
        <v>41450</v>
      </c>
      <c r="F93" s="31" t="n">
        <f aca="false">SUM(E93/D93)</f>
        <v>0.830661322645291</v>
      </c>
      <c r="G93" s="31" t="str">
        <f aca="false">IF(F93&gt;69%, "GOOD", "POOR")</f>
        <v>GOOD</v>
      </c>
      <c r="H93" s="32" t="n">
        <v>3.2</v>
      </c>
      <c r="I93" s="32" t="n">
        <v>221</v>
      </c>
      <c r="J93" s="32" t="str">
        <f aca="false" t="array" ref="J93:J93">_xlfn.IFS(I93&gt;299,"High HP",I93&gt;99,"Medium HP",I93&lt;100,"Low HP")</f>
        <v>Medium HP</v>
      </c>
      <c r="K93" s="32" t="s">
        <v>42</v>
      </c>
      <c r="L93" s="32" t="n">
        <v>25</v>
      </c>
      <c r="M93" s="32" t="n">
        <v>98.2497375</v>
      </c>
      <c r="N93" s="32" t="n">
        <v>21.1</v>
      </c>
      <c r="O93" s="32" t="n">
        <v>111.5</v>
      </c>
      <c r="P93" s="32" t="n">
        <v>70.8</v>
      </c>
      <c r="Q93" s="32" t="n">
        <v>189.4</v>
      </c>
      <c r="R93" s="32" t="n">
        <v>3.823</v>
      </c>
      <c r="S93" s="33" t="n">
        <v>40736</v>
      </c>
    </row>
    <row r="94" customFormat="false" ht="16.15" hidden="true" customHeight="false" outlineLevel="0" collapsed="false">
      <c r="A94" s="27" t="s">
        <v>146</v>
      </c>
      <c r="B94" s="28" t="s">
        <v>149</v>
      </c>
      <c r="C94" s="29" t="n">
        <v>16774</v>
      </c>
      <c r="D94" s="30" t="n">
        <v>69700</v>
      </c>
      <c r="E94" s="30" t="n">
        <v>50375</v>
      </c>
      <c r="F94" s="31" t="n">
        <f aca="false">SUM(E94/D94)</f>
        <v>0.722740315638451</v>
      </c>
      <c r="G94" s="31" t="str">
        <f aca="false">IF(F94&gt;69%, "GOOD", "POOR")</f>
        <v>GOOD</v>
      </c>
      <c r="H94" s="32" t="n">
        <v>4.3</v>
      </c>
      <c r="I94" s="32" t="n">
        <v>275</v>
      </c>
      <c r="J94" s="32" t="str">
        <f aca="false" t="array" ref="J94:J94">_xlfn.IFS(I94&gt;299,"High HP",I94&gt;99,"Medium HP",I94&lt;100,"Low HP")</f>
        <v>Medium HP</v>
      </c>
      <c r="K94" s="32" t="s">
        <v>42</v>
      </c>
      <c r="L94" s="32" t="n">
        <v>21</v>
      </c>
      <c r="M94" s="32" t="n">
        <v>125.2738757</v>
      </c>
      <c r="N94" s="32" t="n">
        <v>23.2</v>
      </c>
      <c r="O94" s="32" t="n">
        <v>121.5</v>
      </c>
      <c r="P94" s="32" t="n">
        <v>73.1</v>
      </c>
      <c r="Q94" s="32" t="n">
        <v>203.1</v>
      </c>
      <c r="R94" s="32" t="n">
        <v>4.133</v>
      </c>
      <c r="S94" s="33" t="n">
        <v>40707</v>
      </c>
    </row>
    <row r="95" customFormat="false" ht="16.15" hidden="true" customHeight="false" outlineLevel="0" collapsed="false">
      <c r="A95" s="27" t="s">
        <v>146</v>
      </c>
      <c r="B95" s="28" t="s">
        <v>150</v>
      </c>
      <c r="C95" s="29" t="n">
        <v>3311</v>
      </c>
      <c r="D95" s="30" t="n">
        <v>82600</v>
      </c>
      <c r="E95" s="30" t="n">
        <v>58600</v>
      </c>
      <c r="F95" s="31" t="n">
        <f aca="false">SUM(E95/D95)</f>
        <v>0.709443099273608</v>
      </c>
      <c r="G95" s="31" t="str">
        <f aca="false">IF(F95&gt;69%, "GOOD", "POOR")</f>
        <v>GOOD</v>
      </c>
      <c r="H95" s="32" t="n">
        <v>5</v>
      </c>
      <c r="I95" s="32" t="n">
        <v>302</v>
      </c>
      <c r="J95" s="32" t="str">
        <f aca="false" t="array" ref="J95:J95">_xlfn.IFS(I95&gt;299,"High HP",I95&gt;99,"Medium HP",I95&lt;100,"Low HP")</f>
        <v>High HP</v>
      </c>
      <c r="K95" s="32" t="s">
        <v>42</v>
      </c>
      <c r="L95" s="32" t="n">
        <v>20</v>
      </c>
      <c r="M95" s="32" t="n">
        <v>139.9822936</v>
      </c>
      <c r="N95" s="32" t="n">
        <v>21.1</v>
      </c>
      <c r="O95" s="32" t="n">
        <v>99</v>
      </c>
      <c r="P95" s="32" t="n">
        <v>71.3</v>
      </c>
      <c r="Q95" s="32" t="n">
        <v>177.1</v>
      </c>
      <c r="R95" s="32" t="n">
        <v>4.125</v>
      </c>
      <c r="S95" s="33" t="n">
        <v>40619</v>
      </c>
    </row>
    <row r="96" customFormat="false" ht="16.15" hidden="true" customHeight="false" outlineLevel="0" collapsed="false">
      <c r="A96" s="27" t="s">
        <v>146</v>
      </c>
      <c r="B96" s="28" t="s">
        <v>151</v>
      </c>
      <c r="C96" s="29" t="n">
        <v>7998</v>
      </c>
      <c r="D96" s="30" t="n">
        <v>38900</v>
      </c>
      <c r="E96" s="30" t="n">
        <v>32436</v>
      </c>
      <c r="F96" s="31" t="n">
        <f aca="false">SUM(E96/D96)</f>
        <v>0.833830334190231</v>
      </c>
      <c r="G96" s="31" t="str">
        <f aca="false">IF(F96&gt;69%, "GOOD", "POOR")</f>
        <v>GOOD</v>
      </c>
      <c r="H96" s="32" t="n">
        <v>2.3</v>
      </c>
      <c r="I96" s="32" t="n">
        <v>190</v>
      </c>
      <c r="J96" s="32" t="str">
        <f aca="false" t="array" ref="J96:J96">_xlfn.IFS(I96&gt;299,"High HP",I96&gt;99,"Medium HP",I96&lt;100,"Low HP")</f>
        <v>Medium HP</v>
      </c>
      <c r="K96" s="32" t="s">
        <v>42</v>
      </c>
      <c r="L96" s="32" t="n">
        <v>26</v>
      </c>
      <c r="M96" s="32" t="n">
        <v>82.80736193</v>
      </c>
      <c r="N96" s="32" t="n">
        <v>15.9</v>
      </c>
      <c r="O96" s="32" t="n">
        <v>94.5</v>
      </c>
      <c r="P96" s="32" t="n">
        <v>67.5</v>
      </c>
      <c r="Q96" s="32" t="n">
        <v>157.9</v>
      </c>
      <c r="R96" s="32" t="n">
        <v>3.055</v>
      </c>
      <c r="S96" s="33" t="n">
        <v>40559</v>
      </c>
    </row>
    <row r="97" customFormat="false" ht="16.15" hidden="true" customHeight="false" outlineLevel="0" collapsed="false">
      <c r="A97" s="27" t="s">
        <v>146</v>
      </c>
      <c r="B97" s="28" t="s">
        <v>152</v>
      </c>
      <c r="C97" s="29" t="n">
        <v>1526</v>
      </c>
      <c r="D97" s="30" t="n">
        <v>41000</v>
      </c>
      <c r="E97" s="30" t="n">
        <v>28635</v>
      </c>
      <c r="F97" s="31" t="n">
        <f aca="false">SUM(E97/D97)</f>
        <v>0.698414634146341</v>
      </c>
      <c r="G97" s="31" t="str">
        <f aca="false">IF(F97&gt;69%, "GOOD", "POOR")</f>
        <v>GOOD</v>
      </c>
      <c r="H97" s="32" t="n">
        <v>2.3</v>
      </c>
      <c r="I97" s="32" t="n">
        <v>185</v>
      </c>
      <c r="J97" s="32" t="str">
        <f aca="false" t="array" ref="J97:J97">_xlfn.IFS(I97&gt;299,"High HP",I97&gt;99,"Medium HP",I97&lt;100,"Low HP")</f>
        <v>Medium HP</v>
      </c>
      <c r="K97" s="32" t="s">
        <v>42</v>
      </c>
      <c r="L97" s="32" t="n">
        <v>27</v>
      </c>
      <c r="M97" s="32" t="n">
        <v>81.84896924</v>
      </c>
      <c r="N97" s="32" t="n">
        <v>14</v>
      </c>
      <c r="O97" s="32" t="n">
        <v>94.5</v>
      </c>
      <c r="P97" s="32" t="n">
        <v>67.5</v>
      </c>
      <c r="Q97" s="32" t="n">
        <v>157.3</v>
      </c>
      <c r="R97" s="32" t="n">
        <v>2.975</v>
      </c>
      <c r="S97" s="33" t="n">
        <v>40761</v>
      </c>
    </row>
    <row r="98" customFormat="false" ht="16.15" hidden="true" customHeight="false" outlineLevel="0" collapsed="false">
      <c r="A98" s="27" t="s">
        <v>146</v>
      </c>
      <c r="B98" s="28" t="s">
        <v>153</v>
      </c>
      <c r="C98" s="29" t="n">
        <v>11592</v>
      </c>
      <c r="D98" s="30" t="n">
        <v>41600</v>
      </c>
      <c r="E98" s="30" t="n">
        <v>29200</v>
      </c>
      <c r="F98" s="31" t="n">
        <f aca="false">SUM(E98/D98)</f>
        <v>0.701923076923077</v>
      </c>
      <c r="G98" s="31" t="str">
        <f aca="false">IF(F98&gt;69%, "GOOD", "POOR")</f>
        <v>GOOD</v>
      </c>
      <c r="H98" s="32" t="n">
        <v>3.2</v>
      </c>
      <c r="I98" s="32" t="n">
        <v>215</v>
      </c>
      <c r="J98" s="32" t="str">
        <f aca="false" t="array" ref="J98:J98">_xlfn.IFS(I98&gt;299,"High HP",I98&gt;99,"Medium HP",I98&lt;100,"Low HP")</f>
        <v>Medium HP</v>
      </c>
      <c r="K98" s="32" t="s">
        <v>42</v>
      </c>
      <c r="L98" s="32" t="n">
        <v>26</v>
      </c>
      <c r="M98" s="32" t="n">
        <v>92.92579177</v>
      </c>
      <c r="N98" s="32" t="n">
        <v>16.4</v>
      </c>
      <c r="O98" s="32" t="n">
        <v>105.9</v>
      </c>
      <c r="P98" s="32" t="n">
        <v>67.8</v>
      </c>
      <c r="Q98" s="32" t="n">
        <v>180.3</v>
      </c>
      <c r="R98" s="32" t="n">
        <v>3.213</v>
      </c>
      <c r="S98" s="33" t="n">
        <v>40732</v>
      </c>
    </row>
    <row r="99" customFormat="false" ht="16.15" hidden="true" customHeight="false" outlineLevel="0" collapsed="false">
      <c r="A99" s="27" t="s">
        <v>146</v>
      </c>
      <c r="B99" s="28" t="s">
        <v>154</v>
      </c>
      <c r="C99" s="29" t="n">
        <v>954</v>
      </c>
      <c r="D99" s="30" t="n">
        <v>85500</v>
      </c>
      <c r="E99" s="30" t="n">
        <v>63423</v>
      </c>
      <c r="F99" s="31" t="n">
        <f aca="false">SUM(E99/D99)</f>
        <v>0.741789473684211</v>
      </c>
      <c r="G99" s="31" t="str">
        <f aca="false">IF(F99&gt;69%, "GOOD", "POOR")</f>
        <v>GOOD</v>
      </c>
      <c r="H99" s="32" t="n">
        <v>5</v>
      </c>
      <c r="I99" s="32" t="n">
        <v>302</v>
      </c>
      <c r="J99" s="32" t="str">
        <f aca="false" t="array" ref="J99:J99">_xlfn.IFS(I99&gt;299,"High HP",I99&gt;99,"Medium HP",I99&lt;100,"Low HP")</f>
        <v>High HP</v>
      </c>
      <c r="K99" s="32" t="s">
        <v>42</v>
      </c>
      <c r="L99" s="32" t="n">
        <v>20</v>
      </c>
      <c r="M99" s="32" t="n">
        <v>141.1009845</v>
      </c>
      <c r="N99" s="32" t="n">
        <v>23.2</v>
      </c>
      <c r="O99" s="32" t="n">
        <v>113.6</v>
      </c>
      <c r="P99" s="32" t="n">
        <v>73.1</v>
      </c>
      <c r="Q99" s="32" t="n">
        <v>196.6</v>
      </c>
      <c r="R99" s="32" t="n">
        <v>4.115</v>
      </c>
      <c r="S99" s="33" t="n">
        <v>40644</v>
      </c>
    </row>
    <row r="100" customFormat="false" ht="16.15" hidden="true" customHeight="false" outlineLevel="0" collapsed="false">
      <c r="A100" s="27" t="s">
        <v>146</v>
      </c>
      <c r="B100" s="28" t="s">
        <v>155</v>
      </c>
      <c r="C100" s="29" t="n">
        <v>28976</v>
      </c>
      <c r="D100" s="30" t="n">
        <v>35300</v>
      </c>
      <c r="E100" s="30" t="n">
        <v>28720</v>
      </c>
      <c r="F100" s="31" t="n">
        <f aca="false">SUM(E100/D100)</f>
        <v>0.813597733711048</v>
      </c>
      <c r="G100" s="31" t="str">
        <f aca="false">IF(F100&gt;69%, "GOOD", "POOR")</f>
        <v>GOOD</v>
      </c>
      <c r="H100" s="32" t="n">
        <v>3.2</v>
      </c>
      <c r="I100" s="32" t="n">
        <v>215</v>
      </c>
      <c r="J100" s="32" t="str">
        <f aca="false" t="array" ref="J100:J100">_xlfn.IFS(I100&gt;299,"High HP",I100&gt;99,"Medium HP",I100&lt;100,"Low HP")</f>
        <v>Medium HP</v>
      </c>
      <c r="K100" s="32" t="s">
        <v>64</v>
      </c>
      <c r="L100" s="32" t="n">
        <v>20</v>
      </c>
      <c r="M100" s="32" t="n">
        <v>90.49553213</v>
      </c>
      <c r="N100" s="32" t="n">
        <v>19</v>
      </c>
      <c r="O100" s="32" t="n">
        <v>111</v>
      </c>
      <c r="P100" s="32" t="n">
        <v>72.2</v>
      </c>
      <c r="Q100" s="32" t="n">
        <v>180.6</v>
      </c>
      <c r="R100" s="32" t="n">
        <v>4.387</v>
      </c>
      <c r="S100" s="33" t="n">
        <v>40584</v>
      </c>
    </row>
    <row r="101" customFormat="false" ht="16.15" hidden="true" customHeight="false" outlineLevel="0" collapsed="false">
      <c r="A101" s="27" t="s">
        <v>7</v>
      </c>
      <c r="B101" s="28" t="s">
        <v>156</v>
      </c>
      <c r="C101" s="29" t="n">
        <v>42643</v>
      </c>
      <c r="D101" s="30" t="n">
        <v>13499</v>
      </c>
      <c r="E101" s="30" t="n">
        <v>8450</v>
      </c>
      <c r="F101" s="31" t="n">
        <f aca="false">SUM(E101/D101)</f>
        <v>0.625972294244018</v>
      </c>
      <c r="G101" s="31" t="str">
        <f aca="false">IF(F101&gt;69%, "GOOD", "POOR")</f>
        <v>POOR</v>
      </c>
      <c r="H101" s="32" t="n">
        <v>1.8</v>
      </c>
      <c r="I101" s="32" t="n">
        <v>126</v>
      </c>
      <c r="J101" s="32" t="str">
        <f aca="false" t="array" ref="J101:J101">_xlfn.IFS(I101&gt;299,"High HP",I101&gt;99,"Medium HP",I101&lt;100,"Low HP")</f>
        <v>Medium HP</v>
      </c>
      <c r="K101" s="32" t="s">
        <v>42</v>
      </c>
      <c r="L101" s="32" t="n">
        <v>30</v>
      </c>
      <c r="M101" s="32" t="n">
        <v>50.24197791</v>
      </c>
      <c r="N101" s="32" t="n">
        <v>13.2</v>
      </c>
      <c r="O101" s="32" t="n">
        <v>99.8</v>
      </c>
      <c r="P101" s="32" t="n">
        <v>67.3</v>
      </c>
      <c r="Q101" s="32" t="n">
        <v>177.5</v>
      </c>
      <c r="R101" s="32" t="n">
        <v>2.593</v>
      </c>
      <c r="S101" s="33" t="n">
        <v>40786</v>
      </c>
    </row>
    <row r="102" customFormat="false" ht="16.15" hidden="true" customHeight="false" outlineLevel="0" collapsed="false">
      <c r="A102" s="27" t="s">
        <v>7</v>
      </c>
      <c r="B102" s="28" t="s">
        <v>157</v>
      </c>
      <c r="C102" s="29" t="n">
        <v>88094</v>
      </c>
      <c r="D102" s="30" t="n">
        <v>20390</v>
      </c>
      <c r="E102" s="30" t="n">
        <v>11295</v>
      </c>
      <c r="F102" s="31" t="n">
        <f aca="false">SUM(E102/D102)</f>
        <v>0.553948013732222</v>
      </c>
      <c r="G102" s="31" t="str">
        <f aca="false">IF(F102&gt;69%, "GOOD", "POOR")</f>
        <v>POOR</v>
      </c>
      <c r="H102" s="32" t="n">
        <v>2.4</v>
      </c>
      <c r="I102" s="32" t="n">
        <v>155</v>
      </c>
      <c r="J102" s="32" t="str">
        <f aca="false" t="array" ref="J102:J102">_xlfn.IFS(I102&gt;299,"High HP",I102&gt;99,"Medium HP",I102&lt;100,"Low HP")</f>
        <v>Medium HP</v>
      </c>
      <c r="K102" s="32" t="s">
        <v>42</v>
      </c>
      <c r="L102" s="32" t="n">
        <v>25</v>
      </c>
      <c r="M102" s="32" t="n">
        <v>63.31372783</v>
      </c>
      <c r="N102" s="32" t="n">
        <v>15.9</v>
      </c>
      <c r="O102" s="32" t="n">
        <v>103.1</v>
      </c>
      <c r="P102" s="32" t="n">
        <v>69.1</v>
      </c>
      <c r="Q102" s="32" t="n">
        <v>183.5</v>
      </c>
      <c r="R102" s="32" t="n">
        <v>3.012</v>
      </c>
      <c r="S102" s="33" t="n">
        <v>40757</v>
      </c>
    </row>
    <row r="103" customFormat="false" ht="16.15" hidden="true" customHeight="false" outlineLevel="0" collapsed="false">
      <c r="A103" s="27" t="s">
        <v>7</v>
      </c>
      <c r="B103" s="28" t="s">
        <v>158</v>
      </c>
      <c r="C103" s="29" t="n">
        <v>79853</v>
      </c>
      <c r="D103" s="30" t="n">
        <v>26249</v>
      </c>
      <c r="E103" s="30" t="n">
        <v>15125</v>
      </c>
      <c r="F103" s="31" t="n">
        <f aca="false">SUM(E103/D103)</f>
        <v>0.576212427140082</v>
      </c>
      <c r="G103" s="31" t="str">
        <f aca="false">IF(F103&gt;69%, "GOOD", "POOR")</f>
        <v>POOR</v>
      </c>
      <c r="H103" s="32" t="n">
        <v>3</v>
      </c>
      <c r="I103" s="32" t="n">
        <v>222</v>
      </c>
      <c r="J103" s="32" t="str">
        <f aca="false" t="array" ref="J103:J103">_xlfn.IFS(I103&gt;299,"High HP",I103&gt;99,"Medium HP",I103&lt;100,"Low HP")</f>
        <v>Medium HP</v>
      </c>
      <c r="K103" s="32" t="s">
        <v>42</v>
      </c>
      <c r="L103" s="32" t="n">
        <v>25</v>
      </c>
      <c r="M103" s="32" t="n">
        <v>89.42782031</v>
      </c>
      <c r="N103" s="32" t="n">
        <v>18.5</v>
      </c>
      <c r="O103" s="32" t="n">
        <v>108.3</v>
      </c>
      <c r="P103" s="32" t="n">
        <v>70.3</v>
      </c>
      <c r="Q103" s="32" t="n">
        <v>190.5</v>
      </c>
      <c r="R103" s="32" t="n">
        <v>3.294</v>
      </c>
      <c r="S103" s="33" t="n">
        <v>40669</v>
      </c>
    </row>
    <row r="104" customFormat="false" ht="16.15" hidden="true" customHeight="false" outlineLevel="0" collapsed="false">
      <c r="A104" s="27" t="s">
        <v>7</v>
      </c>
      <c r="B104" s="28" t="s">
        <v>159</v>
      </c>
      <c r="C104" s="29" t="n">
        <v>27308</v>
      </c>
      <c r="D104" s="30" t="n">
        <v>26399</v>
      </c>
      <c r="E104" s="30" t="n">
        <v>15380</v>
      </c>
      <c r="F104" s="31" t="n">
        <f aca="false">SUM(E104/D104)</f>
        <v>0.582597825675215</v>
      </c>
      <c r="G104" s="31" t="str">
        <f aca="false">IF(F104&gt;69%, "GOOD", "POOR")</f>
        <v>POOR</v>
      </c>
      <c r="H104" s="32" t="n">
        <v>3.3</v>
      </c>
      <c r="I104" s="32" t="n">
        <v>170</v>
      </c>
      <c r="J104" s="32" t="str">
        <f aca="false" t="array" ref="J104:J104">_xlfn.IFS(I104&gt;299,"High HP",I104&gt;99,"Medium HP",I104&lt;100,"Low HP")</f>
        <v>Medium HP</v>
      </c>
      <c r="K104" s="32" t="s">
        <v>64</v>
      </c>
      <c r="L104" s="32" t="n">
        <v>21</v>
      </c>
      <c r="M104" s="32" t="n">
        <v>71.17166413</v>
      </c>
      <c r="N104" s="32" t="n">
        <v>20</v>
      </c>
      <c r="O104" s="32" t="n">
        <v>112.2</v>
      </c>
      <c r="P104" s="32" t="n">
        <v>74.9</v>
      </c>
      <c r="Q104" s="32" t="n">
        <v>194.8</v>
      </c>
      <c r="R104" s="32" t="n">
        <v>3.991</v>
      </c>
      <c r="S104" s="33" t="n">
        <v>40609</v>
      </c>
    </row>
    <row r="105" customFormat="false" ht="16.15" hidden="true" customHeight="false" outlineLevel="0" collapsed="false">
      <c r="A105" s="27" t="s">
        <v>7</v>
      </c>
      <c r="B105" s="28" t="s">
        <v>160</v>
      </c>
      <c r="C105" s="29" t="n">
        <v>42574</v>
      </c>
      <c r="D105" s="30" t="n">
        <v>29299</v>
      </c>
      <c r="E105" s="30" t="n">
        <v>17810</v>
      </c>
      <c r="F105" s="31" t="n">
        <f aca="false">SUM(E105/D105)</f>
        <v>0.60787057578757</v>
      </c>
      <c r="G105" s="31" t="str">
        <f aca="false">IF(F105&gt;69%, "GOOD", "POOR")</f>
        <v>POOR</v>
      </c>
      <c r="H105" s="32" t="n">
        <v>3.3</v>
      </c>
      <c r="I105" s="32" t="n">
        <v>170</v>
      </c>
      <c r="J105" s="32" t="str">
        <f aca="false" t="array" ref="J105:J105">_xlfn.IFS(I105&gt;299,"High HP",I105&gt;99,"Medium HP",I105&lt;100,"Low HP")</f>
        <v>Medium HP</v>
      </c>
      <c r="K105" s="32" t="s">
        <v>64</v>
      </c>
      <c r="L105" s="32" t="n">
        <v>19</v>
      </c>
      <c r="M105" s="32" t="n">
        <v>72.29035508</v>
      </c>
      <c r="N105" s="32" t="n">
        <v>21</v>
      </c>
      <c r="O105" s="32" t="n">
        <v>106.3</v>
      </c>
      <c r="P105" s="32" t="n">
        <v>71.7</v>
      </c>
      <c r="Q105" s="32" t="n">
        <v>182.6</v>
      </c>
      <c r="R105" s="32" t="n">
        <v>3.947</v>
      </c>
      <c r="S105" s="33" t="n">
        <v>40811</v>
      </c>
    </row>
    <row r="106" customFormat="false" ht="16.15" hidden="true" customHeight="false" outlineLevel="0" collapsed="false">
      <c r="A106" s="27" t="s">
        <v>7</v>
      </c>
      <c r="B106" s="28" t="s">
        <v>161</v>
      </c>
      <c r="C106" s="29" t="n">
        <v>54158</v>
      </c>
      <c r="D106" s="30" t="n">
        <v>22799</v>
      </c>
      <c r="E106" s="30" t="n">
        <v>13093</v>
      </c>
      <c r="F106" s="31" t="n">
        <f aca="false">SUM(E106/D106)</f>
        <v>0.574279573665512</v>
      </c>
      <c r="G106" s="31" t="str">
        <f aca="false">IF(F106&gt;69%, "GOOD", "POOR")</f>
        <v>POOR</v>
      </c>
      <c r="H106" s="32" t="n">
        <v>3.3</v>
      </c>
      <c r="I106" s="32" t="n">
        <v>170</v>
      </c>
      <c r="J106" s="32" t="str">
        <f aca="false" t="array" ref="J106:J106">_xlfn.IFS(I106&gt;299,"High HP",I106&gt;99,"Medium HP",I106&lt;100,"Low HP")</f>
        <v>Medium HP</v>
      </c>
      <c r="K106" s="32" t="s">
        <v>64</v>
      </c>
      <c r="L106" s="32" t="n">
        <v>18</v>
      </c>
      <c r="M106" s="32" t="n">
        <v>69.78294434</v>
      </c>
      <c r="N106" s="32" t="n">
        <v>19.4</v>
      </c>
      <c r="O106" s="32" t="n">
        <v>104.3</v>
      </c>
      <c r="P106" s="32" t="n">
        <v>70.4</v>
      </c>
      <c r="Q106" s="32" t="n">
        <v>178</v>
      </c>
      <c r="R106" s="32" t="n">
        <v>3.821</v>
      </c>
      <c r="S106" s="33" t="n">
        <v>40567</v>
      </c>
    </row>
    <row r="107" customFormat="false" ht="16.15" hidden="true" customHeight="false" outlineLevel="0" collapsed="false">
      <c r="A107" s="27" t="s">
        <v>7</v>
      </c>
      <c r="B107" s="28" t="s">
        <v>162</v>
      </c>
      <c r="C107" s="29" t="n">
        <v>65005</v>
      </c>
      <c r="D107" s="30" t="n">
        <v>17890</v>
      </c>
      <c r="E107" s="30" t="n">
        <v>10670</v>
      </c>
      <c r="F107" s="31" t="n">
        <f aca="false">SUM(E107/D107)</f>
        <v>0.596422582448295</v>
      </c>
      <c r="G107" s="31" t="str">
        <f aca="false">IF(F107&gt;69%, "GOOD", "POOR")</f>
        <v>POOR</v>
      </c>
      <c r="H107" s="32" t="n">
        <v>3.3</v>
      </c>
      <c r="I107" s="32" t="n">
        <v>170</v>
      </c>
      <c r="J107" s="32" t="str">
        <f aca="false" t="array" ref="J107:J107">_xlfn.IFS(I107&gt;299,"High HP",I107&gt;99,"Medium HP",I107&lt;100,"Low HP")</f>
        <v>Medium HP</v>
      </c>
      <c r="K107" s="32" t="s">
        <v>64</v>
      </c>
      <c r="L107" s="32" t="n">
        <v>18</v>
      </c>
      <c r="M107" s="32" t="n">
        <v>67.88927059</v>
      </c>
      <c r="N107" s="32" t="n">
        <v>19.4</v>
      </c>
      <c r="O107" s="32" t="n">
        <v>116.1</v>
      </c>
      <c r="P107" s="32" t="n">
        <v>66.5</v>
      </c>
      <c r="Q107" s="32" t="n">
        <v>196.1</v>
      </c>
      <c r="R107" s="32" t="n">
        <v>3.217</v>
      </c>
      <c r="S107" s="33" t="n">
        <v>40782</v>
      </c>
    </row>
    <row r="108" customFormat="false" ht="16.15" hidden="true" customHeight="false" outlineLevel="0" collapsed="false">
      <c r="A108" s="27" t="s">
        <v>163</v>
      </c>
      <c r="B108" s="28" t="s">
        <v>164</v>
      </c>
      <c r="C108" s="29" t="n">
        <v>1112</v>
      </c>
      <c r="D108" s="30" t="n">
        <v>18145</v>
      </c>
      <c r="E108" s="30" t="n">
        <v>11240</v>
      </c>
      <c r="F108" s="31" t="n">
        <f aca="false">SUM(E108/D108)</f>
        <v>0.619454395150179</v>
      </c>
      <c r="G108" s="31" t="str">
        <f aca="false">IF(F108&gt;69%, "GOOD", "POOR")</f>
        <v>POOR</v>
      </c>
      <c r="H108" s="32" t="n">
        <v>3.1</v>
      </c>
      <c r="I108" s="32" t="n">
        <v>150</v>
      </c>
      <c r="J108" s="32" t="str">
        <f aca="false" t="array" ref="J108:J108">_xlfn.IFS(I108&gt;299,"High HP",I108&gt;99,"Medium HP",I108&lt;100,"Low HP")</f>
        <v>Medium HP</v>
      </c>
      <c r="K108" s="32" t="s">
        <v>42</v>
      </c>
      <c r="L108" s="32" t="n">
        <v>25</v>
      </c>
      <c r="M108" s="32" t="n">
        <v>60.86161155</v>
      </c>
      <c r="N108" s="32" t="n">
        <v>15.2</v>
      </c>
      <c r="O108" s="32" t="n">
        <v>107</v>
      </c>
      <c r="P108" s="32" t="n">
        <v>69.4</v>
      </c>
      <c r="Q108" s="32" t="n">
        <v>192</v>
      </c>
      <c r="R108" s="32" t="n">
        <v>3.102</v>
      </c>
      <c r="S108" s="33" t="n">
        <v>40694</v>
      </c>
    </row>
    <row r="109" customFormat="false" ht="16.15" hidden="true" customHeight="false" outlineLevel="0" collapsed="false">
      <c r="A109" s="27" t="s">
        <v>163</v>
      </c>
      <c r="B109" s="28" t="s">
        <v>165</v>
      </c>
      <c r="C109" s="29" t="n">
        <v>38554</v>
      </c>
      <c r="D109" s="30" t="n">
        <v>24150</v>
      </c>
      <c r="E109" s="30" t="n">
        <v>17100</v>
      </c>
      <c r="F109" s="31" t="n">
        <f aca="false">SUM(E109/D109)</f>
        <v>0.708074534161491</v>
      </c>
      <c r="G109" s="31" t="str">
        <f aca="false">IF(F109&gt;69%, "GOOD", "POOR")</f>
        <v>GOOD</v>
      </c>
      <c r="H109" s="32" t="n">
        <v>3.5</v>
      </c>
      <c r="I109" s="32" t="n">
        <v>215</v>
      </c>
      <c r="J109" s="32" t="str">
        <f aca="false" t="array" ref="J109:J109">_xlfn.IFS(I109&gt;299,"High HP",I109&gt;99,"Medium HP",I109&lt;100,"Low HP")</f>
        <v>Medium HP</v>
      </c>
      <c r="K109" s="32" t="s">
        <v>42</v>
      </c>
      <c r="L109" s="32" t="n">
        <v>23</v>
      </c>
      <c r="M109" s="32" t="n">
        <v>86.27252291</v>
      </c>
      <c r="N109" s="32" t="n">
        <v>18</v>
      </c>
      <c r="O109" s="32" t="n">
        <v>109</v>
      </c>
      <c r="P109" s="32" t="n">
        <v>73.6</v>
      </c>
      <c r="Q109" s="32" t="n">
        <v>195.9</v>
      </c>
      <c r="R109" s="32" t="n">
        <v>3.455</v>
      </c>
      <c r="S109" s="33" t="n">
        <v>40634</v>
      </c>
    </row>
    <row r="110" customFormat="false" ht="16.15" hidden="true" customHeight="false" outlineLevel="0" collapsed="false">
      <c r="A110" s="27" t="s">
        <v>163</v>
      </c>
      <c r="B110" s="28" t="s">
        <v>166</v>
      </c>
      <c r="C110" s="29" t="n">
        <v>80255</v>
      </c>
      <c r="D110" s="30" t="n">
        <v>18270</v>
      </c>
      <c r="E110" s="30" t="n">
        <v>11459</v>
      </c>
      <c r="F110" s="31" t="n">
        <f aca="false">SUM(E110/D110)</f>
        <v>0.6272030651341</v>
      </c>
      <c r="G110" s="31" t="str">
        <f aca="false">IF(F110&gt;69%, "GOOD", "POOR")</f>
        <v>POOR</v>
      </c>
      <c r="H110" s="32" t="n">
        <v>2.4</v>
      </c>
      <c r="I110" s="32" t="n">
        <v>150</v>
      </c>
      <c r="J110" s="32" t="str">
        <f aca="false" t="array" ref="J110:J110">_xlfn.IFS(I110&gt;299,"High HP",I110&gt;99,"Medium HP",I110&lt;100,"Low HP")</f>
        <v>Medium HP</v>
      </c>
      <c r="K110" s="32" t="s">
        <v>42</v>
      </c>
      <c r="L110" s="32" t="n">
        <v>27</v>
      </c>
      <c r="M110" s="32" t="n">
        <v>60.72744693</v>
      </c>
      <c r="N110" s="32" t="n">
        <v>15</v>
      </c>
      <c r="O110" s="32" t="n">
        <v>107</v>
      </c>
      <c r="P110" s="32" t="n">
        <v>70.1</v>
      </c>
      <c r="Q110" s="32" t="n">
        <v>186.7</v>
      </c>
      <c r="R110" s="32" t="n">
        <v>2.958</v>
      </c>
      <c r="S110" s="33" t="n">
        <v>40106</v>
      </c>
    </row>
    <row r="111" customFormat="false" ht="16.15" hidden="true" customHeight="false" outlineLevel="0" collapsed="false">
      <c r="A111" s="27" t="s">
        <v>163</v>
      </c>
      <c r="B111" s="28" t="s">
        <v>167</v>
      </c>
      <c r="C111" s="29" t="n">
        <v>14690</v>
      </c>
      <c r="D111" s="30" t="n">
        <v>36229</v>
      </c>
      <c r="E111" s="30" t="n">
        <v>19890</v>
      </c>
      <c r="F111" s="31" t="n">
        <f aca="false">SUM(E111/D111)</f>
        <v>0.549007701013001</v>
      </c>
      <c r="G111" s="31" t="str">
        <f aca="false">IF(F111&gt;69%, "GOOD", "POOR")</f>
        <v>POOR</v>
      </c>
      <c r="H111" s="32" t="n">
        <v>4</v>
      </c>
      <c r="I111" s="32" t="n">
        <v>250</v>
      </c>
      <c r="J111" s="32" t="str">
        <f aca="false" t="array" ref="J111:J111">_xlfn.IFS(I111&gt;299,"High HP",I111&gt;99,"Medium HP",I111&lt;100,"Low HP")</f>
        <v>Medium HP</v>
      </c>
      <c r="K111" s="32" t="s">
        <v>42</v>
      </c>
      <c r="L111" s="32" t="n">
        <v>22</v>
      </c>
      <c r="M111" s="32" t="n">
        <v>103.4416926</v>
      </c>
      <c r="N111" s="32" t="n">
        <v>18.5</v>
      </c>
      <c r="O111" s="32" t="n">
        <v>113.8</v>
      </c>
      <c r="P111" s="32" t="n">
        <v>74.4</v>
      </c>
      <c r="Q111" s="32" t="n">
        <v>205.4</v>
      </c>
      <c r="R111" s="32" t="n">
        <v>3.967</v>
      </c>
      <c r="S111" s="33" t="n">
        <v>40592</v>
      </c>
    </row>
    <row r="112" customFormat="false" ht="16.15" hidden="true" customHeight="false" outlineLevel="0" collapsed="false">
      <c r="A112" s="27" t="s">
        <v>163</v>
      </c>
      <c r="B112" s="28" t="s">
        <v>168</v>
      </c>
      <c r="C112" s="29" t="n">
        <v>20017</v>
      </c>
      <c r="D112" s="30" t="n">
        <v>31598</v>
      </c>
      <c r="E112" s="30" t="n">
        <v>19925</v>
      </c>
      <c r="F112" s="31" t="n">
        <f aca="false">SUM(E112/D112)</f>
        <v>0.630577884676245</v>
      </c>
      <c r="G112" s="31" t="str">
        <f aca="false">IF(F112&gt;69%, "GOOD", "POOR")</f>
        <v>POOR</v>
      </c>
      <c r="H112" s="32" t="n">
        <v>4.3</v>
      </c>
      <c r="I112" s="32" t="n">
        <v>190</v>
      </c>
      <c r="J112" s="32" t="str">
        <f aca="false" t="array" ref="J112:J112">_xlfn.IFS(I112&gt;299,"High HP",I112&gt;99,"Medium HP",I112&lt;100,"Low HP")</f>
        <v>Medium HP</v>
      </c>
      <c r="K112" s="32" t="s">
        <v>64</v>
      </c>
      <c r="L112" s="32" t="n">
        <v>19</v>
      </c>
      <c r="M112" s="32" t="n">
        <v>80.51167259</v>
      </c>
      <c r="N112" s="32" t="n">
        <v>17.5</v>
      </c>
      <c r="O112" s="32" t="n">
        <v>107</v>
      </c>
      <c r="P112" s="32" t="n">
        <v>67.8</v>
      </c>
      <c r="Q112" s="32" t="n">
        <v>181.2</v>
      </c>
      <c r="R112" s="32" t="n">
        <v>4.068</v>
      </c>
      <c r="S112" s="33" t="n">
        <v>40807</v>
      </c>
    </row>
    <row r="113" customFormat="false" ht="16.15" hidden="true" customHeight="false" outlineLevel="0" collapsed="false">
      <c r="A113" s="27" t="s">
        <v>163</v>
      </c>
      <c r="B113" s="28" t="s">
        <v>169</v>
      </c>
      <c r="C113" s="29" t="n">
        <v>24361</v>
      </c>
      <c r="D113" s="30" t="n">
        <v>25345</v>
      </c>
      <c r="E113" s="30" t="n">
        <v>15240</v>
      </c>
      <c r="F113" s="31" t="n">
        <f aca="false">SUM(E113/D113)</f>
        <v>0.601302031958966</v>
      </c>
      <c r="G113" s="31" t="str">
        <f aca="false">IF(F113&gt;69%, "GOOD", "POOR")</f>
        <v>POOR</v>
      </c>
      <c r="H113" s="32" t="n">
        <v>3.4</v>
      </c>
      <c r="I113" s="32" t="n">
        <v>185</v>
      </c>
      <c r="J113" s="32" t="str">
        <f aca="false" t="array" ref="J113:J113">_xlfn.IFS(I113&gt;299,"High HP",I113&gt;99,"Medium HP",I113&lt;100,"Low HP")</f>
        <v>Medium HP</v>
      </c>
      <c r="K113" s="32" t="s">
        <v>64</v>
      </c>
      <c r="L113" s="32" t="n">
        <v>22</v>
      </c>
      <c r="M113" s="32" t="n">
        <v>76.09657042</v>
      </c>
      <c r="N113" s="32" t="n">
        <v>25</v>
      </c>
      <c r="O113" s="32" t="n">
        <v>120</v>
      </c>
      <c r="P113" s="32" t="n">
        <v>72.2</v>
      </c>
      <c r="Q113" s="32" t="n">
        <v>201.4</v>
      </c>
      <c r="R113" s="32" t="n">
        <v>3.948</v>
      </c>
      <c r="S113" s="33" t="n">
        <v>40719</v>
      </c>
    </row>
    <row r="114" customFormat="false" ht="16.15" hidden="true" customHeight="false" outlineLevel="0" collapsed="false">
      <c r="A114" s="27" t="s">
        <v>170</v>
      </c>
      <c r="B114" s="28" t="s">
        <v>83</v>
      </c>
      <c r="C114" s="29" t="n">
        <v>32734</v>
      </c>
      <c r="D114" s="30" t="n">
        <v>12640</v>
      </c>
      <c r="E114" s="30" t="n">
        <v>7750</v>
      </c>
      <c r="F114" s="31" t="n">
        <f aca="false">SUM(E114/D114)</f>
        <v>0.613132911392405</v>
      </c>
      <c r="G114" s="31" t="str">
        <f aca="false">IF(F114&gt;69%, "GOOD", "POOR")</f>
        <v>POOR</v>
      </c>
      <c r="H114" s="32" t="n">
        <v>2</v>
      </c>
      <c r="I114" s="32" t="n">
        <v>132</v>
      </c>
      <c r="J114" s="32" t="str">
        <f aca="false" t="array" ref="J114:J114">_xlfn.IFS(I114&gt;299,"High HP",I114&gt;99,"Medium HP",I114&lt;100,"Low HP")</f>
        <v>Medium HP</v>
      </c>
      <c r="K114" s="32" t="s">
        <v>42</v>
      </c>
      <c r="L114" s="32" t="n">
        <v>29</v>
      </c>
      <c r="M114" s="32" t="n">
        <v>52.08489875</v>
      </c>
      <c r="N114" s="32" t="n">
        <v>12.5</v>
      </c>
      <c r="O114" s="32" t="n">
        <v>105</v>
      </c>
      <c r="P114" s="32" t="n">
        <v>74.4</v>
      </c>
      <c r="Q114" s="32" t="n">
        <v>174.4</v>
      </c>
      <c r="R114" s="32" t="n">
        <v>2.559</v>
      </c>
      <c r="S114" s="33" t="n">
        <v>40659</v>
      </c>
    </row>
    <row r="115" customFormat="false" ht="16.15" hidden="true" customHeight="false" outlineLevel="0" collapsed="false">
      <c r="A115" s="27" t="s">
        <v>170</v>
      </c>
      <c r="B115" s="28" t="s">
        <v>171</v>
      </c>
      <c r="C115" s="29" t="n">
        <v>5240</v>
      </c>
      <c r="D115" s="30" t="n">
        <v>16080</v>
      </c>
      <c r="E115" s="30" t="n">
        <v>9800</v>
      </c>
      <c r="F115" s="31" t="n">
        <f aca="false">SUM(E115/D115)</f>
        <v>0.609452736318408</v>
      </c>
      <c r="G115" s="31" t="str">
        <f aca="false">IF(F115&gt;69%, "GOOD", "POOR")</f>
        <v>POOR</v>
      </c>
      <c r="H115" s="32" t="n">
        <v>2</v>
      </c>
      <c r="I115" s="32" t="n">
        <v>132</v>
      </c>
      <c r="J115" s="32" t="str">
        <f aca="false" t="array" ref="J115:J115">_xlfn.IFS(I115&gt;299,"High HP",I115&gt;99,"Medium HP",I115&lt;100,"Low HP")</f>
        <v>Medium HP</v>
      </c>
      <c r="K115" s="32" t="s">
        <v>42</v>
      </c>
      <c r="L115" s="32" t="n">
        <v>27</v>
      </c>
      <c r="M115" s="32" t="n">
        <v>53.41189767</v>
      </c>
      <c r="N115" s="32" t="n">
        <v>16</v>
      </c>
      <c r="O115" s="32" t="n">
        <v>108</v>
      </c>
      <c r="P115" s="32" t="n">
        <v>71</v>
      </c>
      <c r="Q115" s="32" t="n">
        <v>186.3</v>
      </c>
      <c r="R115" s="32" t="n">
        <v>2.942</v>
      </c>
      <c r="S115" s="33" t="n">
        <v>40861</v>
      </c>
    </row>
    <row r="116" customFormat="false" ht="16.15" hidden="true" customHeight="false" outlineLevel="0" collapsed="false">
      <c r="A116" s="27" t="s">
        <v>170</v>
      </c>
      <c r="B116" s="28" t="s">
        <v>172</v>
      </c>
      <c r="C116" s="29" t="n">
        <v>24155</v>
      </c>
      <c r="D116" s="30" t="n">
        <v>18850</v>
      </c>
      <c r="E116" s="30" t="n">
        <v>12025</v>
      </c>
      <c r="F116" s="31" t="n">
        <f aca="false">SUM(E116/D116)</f>
        <v>0.637931034482759</v>
      </c>
      <c r="G116" s="31" t="str">
        <f aca="false">IF(F116&gt;69%, "GOOD", "POOR")</f>
        <v>POOR</v>
      </c>
      <c r="H116" s="32" t="n">
        <v>2.4</v>
      </c>
      <c r="I116" s="32" t="n">
        <v>150</v>
      </c>
      <c r="J116" s="32" t="str">
        <f aca="false" t="array" ref="J116:J116">_xlfn.IFS(I116&gt;299,"High HP",I116&gt;99,"Medium HP",I116&lt;100,"Low HP")</f>
        <v>Medium HP</v>
      </c>
      <c r="K116" s="32" t="s">
        <v>64</v>
      </c>
      <c r="L116" s="32" t="n">
        <v>24</v>
      </c>
      <c r="M116" s="32" t="n">
        <v>60.95118512</v>
      </c>
      <c r="N116" s="32" t="n">
        <v>20</v>
      </c>
      <c r="O116" s="32" t="n">
        <v>113.3</v>
      </c>
      <c r="P116" s="32" t="n">
        <v>76.8</v>
      </c>
      <c r="Q116" s="32" t="n">
        <v>186.3</v>
      </c>
      <c r="R116" s="32" t="n">
        <v>3.528</v>
      </c>
      <c r="S116" s="33" t="n">
        <v>40657</v>
      </c>
    </row>
    <row r="117" customFormat="false" ht="16.15" hidden="true" customHeight="false" outlineLevel="0" collapsed="false">
      <c r="A117" s="27" t="s">
        <v>170</v>
      </c>
      <c r="B117" s="28" t="s">
        <v>173</v>
      </c>
      <c r="C117" s="29" t="n">
        <v>1872</v>
      </c>
      <c r="D117" s="30" t="n">
        <v>43000</v>
      </c>
      <c r="E117" s="30" t="n">
        <v>30434</v>
      </c>
      <c r="F117" s="31" t="n">
        <f aca="false">SUM(E117/D117)</f>
        <v>0.707767441860465</v>
      </c>
      <c r="G117" s="31" t="str">
        <f aca="false">IF(F117&gt;69%, "GOOD", "POOR")</f>
        <v>GOOD</v>
      </c>
      <c r="H117" s="32" t="n">
        <v>3.5</v>
      </c>
      <c r="I117" s="32" t="n">
        <v>253</v>
      </c>
      <c r="J117" s="32" t="str">
        <f aca="false" t="array" ref="J117:J117">_xlfn.IFS(I117&gt;299,"High HP",I117&gt;99,"Medium HP",I117&lt;100,"Low HP")</f>
        <v>Medium HP</v>
      </c>
      <c r="K117" s="32" t="s">
        <v>42</v>
      </c>
      <c r="L117" s="32" t="n">
        <v>21</v>
      </c>
      <c r="M117" s="32" t="n">
        <v>106.9844563</v>
      </c>
      <c r="N117" s="32" t="n">
        <v>12</v>
      </c>
      <c r="O117" s="32" t="n">
        <v>113.3</v>
      </c>
      <c r="P117" s="32" t="n">
        <v>76.3</v>
      </c>
      <c r="Q117" s="32" t="n">
        <v>165.4</v>
      </c>
      <c r="R117" s="32" t="n">
        <v>2.85</v>
      </c>
      <c r="S117" s="33" t="n">
        <v>41087</v>
      </c>
    </row>
    <row r="118" customFormat="false" ht="16.15" hidden="true" customHeight="false" outlineLevel="0" collapsed="false">
      <c r="A118" s="27" t="s">
        <v>174</v>
      </c>
      <c r="B118" s="28" t="s">
        <v>175</v>
      </c>
      <c r="C118" s="29" t="n">
        <v>51645</v>
      </c>
      <c r="D118" s="30" t="n">
        <v>21610</v>
      </c>
      <c r="E118" s="30" t="n">
        <v>13790</v>
      </c>
      <c r="F118" s="31" t="n">
        <f aca="false">SUM(E118/D118)</f>
        <v>0.638130495141138</v>
      </c>
      <c r="G118" s="31" t="str">
        <f aca="false">IF(F118&gt;69%, "GOOD", "POOR")</f>
        <v>POOR</v>
      </c>
      <c r="H118" s="32" t="n">
        <v>2.4</v>
      </c>
      <c r="I118" s="32" t="n">
        <v>150</v>
      </c>
      <c r="J118" s="32" t="str">
        <f aca="false" t="array" ref="J118:J118">_xlfn.IFS(I118&gt;299,"High HP",I118&gt;99,"Medium HP",I118&lt;100,"Low HP")</f>
        <v>Medium HP</v>
      </c>
      <c r="K118" s="32" t="s">
        <v>42</v>
      </c>
      <c r="L118" s="32" t="n">
        <v>27</v>
      </c>
      <c r="M118" s="32" t="n">
        <v>62.0158703</v>
      </c>
      <c r="N118" s="32" t="n">
        <v>15</v>
      </c>
      <c r="O118" s="32" t="n">
        <v>104.1</v>
      </c>
      <c r="P118" s="32" t="n">
        <v>68.4</v>
      </c>
      <c r="Q118" s="32" t="n">
        <v>181.9</v>
      </c>
      <c r="R118" s="32" t="n">
        <v>2.906</v>
      </c>
      <c r="S118" s="33" t="n">
        <v>40933</v>
      </c>
    </row>
    <row r="119" customFormat="false" ht="16.15" hidden="true" customHeight="false" outlineLevel="0" collapsed="false">
      <c r="A119" s="27" t="s">
        <v>174</v>
      </c>
      <c r="B119" s="28" t="s">
        <v>176</v>
      </c>
      <c r="C119" s="29" t="n">
        <v>131097</v>
      </c>
      <c r="D119" s="30" t="n">
        <v>19720</v>
      </c>
      <c r="E119" s="30" t="n">
        <v>10290</v>
      </c>
      <c r="F119" s="31" t="n">
        <f aca="false">SUM(E119/D119)</f>
        <v>0.521805273833671</v>
      </c>
      <c r="G119" s="31" t="str">
        <f aca="false">IF(F119&gt;69%, "GOOD", "POOR")</f>
        <v>POOR</v>
      </c>
      <c r="H119" s="32" t="n">
        <v>3.4</v>
      </c>
      <c r="I119" s="32" t="n">
        <v>175</v>
      </c>
      <c r="J119" s="32" t="str">
        <f aca="false" t="array" ref="J119:J119">_xlfn.IFS(I119&gt;299,"High HP",I119&gt;99,"Medium HP",I119&lt;100,"Low HP")</f>
        <v>Medium HP</v>
      </c>
      <c r="K119" s="32" t="s">
        <v>42</v>
      </c>
      <c r="L119" s="32" t="n">
        <v>25</v>
      </c>
      <c r="M119" s="32" t="n">
        <v>70.38973726</v>
      </c>
      <c r="N119" s="32" t="n">
        <v>15.2</v>
      </c>
      <c r="O119" s="32" t="n">
        <v>107</v>
      </c>
      <c r="P119" s="32" t="n">
        <v>70.4</v>
      </c>
      <c r="Q119" s="32" t="n">
        <v>186.3</v>
      </c>
      <c r="R119" s="32" t="n">
        <v>3.091</v>
      </c>
      <c r="S119" s="33" t="n">
        <v>41239</v>
      </c>
    </row>
    <row r="120" customFormat="false" ht="16.15" hidden="true" customHeight="false" outlineLevel="0" collapsed="false">
      <c r="A120" s="27" t="s">
        <v>174</v>
      </c>
      <c r="B120" s="28" t="s">
        <v>177</v>
      </c>
      <c r="C120" s="29" t="n">
        <v>19911</v>
      </c>
      <c r="D120" s="30" t="n">
        <v>25310</v>
      </c>
      <c r="E120" s="30" t="n">
        <v>17805</v>
      </c>
      <c r="F120" s="31" t="n">
        <f aca="false">SUM(E120/D120)</f>
        <v>0.703476886606085</v>
      </c>
      <c r="G120" s="31" t="str">
        <f aca="false">IF(F120&gt;69%, "GOOD", "POOR")</f>
        <v>GOOD</v>
      </c>
      <c r="H120" s="32" t="n">
        <v>3.8</v>
      </c>
      <c r="I120" s="32" t="n">
        <v>200</v>
      </c>
      <c r="J120" s="32" t="str">
        <f aca="false" t="array" ref="J120:J120">_xlfn.IFS(I120&gt;299,"High HP",I120&gt;99,"Medium HP",I120&lt;100,"Low HP")</f>
        <v>Medium HP</v>
      </c>
      <c r="K120" s="32" t="s">
        <v>42</v>
      </c>
      <c r="L120" s="32" t="n">
        <v>25</v>
      </c>
      <c r="M120" s="32" t="n">
        <v>81.49272616</v>
      </c>
      <c r="N120" s="32" t="n">
        <v>16.8</v>
      </c>
      <c r="O120" s="32" t="n">
        <v>101.1</v>
      </c>
      <c r="P120" s="32" t="n">
        <v>74.5</v>
      </c>
      <c r="Q120" s="32" t="n">
        <v>193.4</v>
      </c>
      <c r="R120" s="32" t="n">
        <v>3.492</v>
      </c>
      <c r="S120" s="33" t="n">
        <v>41076</v>
      </c>
    </row>
    <row r="121" customFormat="false" ht="16.15" hidden="true" customHeight="false" outlineLevel="0" collapsed="false">
      <c r="A121" s="27" t="s">
        <v>174</v>
      </c>
      <c r="B121" s="28" t="s">
        <v>178</v>
      </c>
      <c r="C121" s="29" t="n">
        <v>92364</v>
      </c>
      <c r="D121" s="30" t="n">
        <v>21665</v>
      </c>
      <c r="E121" s="30" t="n">
        <v>14010</v>
      </c>
      <c r="F121" s="31" t="n">
        <f aca="false">SUM(E121/D121)</f>
        <v>0.646665128086776</v>
      </c>
      <c r="G121" s="31" t="str">
        <f aca="false">IF(F121&gt;69%, "GOOD", "POOR")</f>
        <v>POOR</v>
      </c>
      <c r="H121" s="32" t="n">
        <v>3.8</v>
      </c>
      <c r="I121" s="32" t="n">
        <v>195</v>
      </c>
      <c r="J121" s="32" t="str">
        <f aca="false" t="array" ref="J121:J121">_xlfn.IFS(I121&gt;299,"High HP",I121&gt;99,"Medium HP",I121&lt;100,"Low HP")</f>
        <v>Medium HP</v>
      </c>
      <c r="K121" s="32" t="s">
        <v>42</v>
      </c>
      <c r="L121" s="32" t="n">
        <v>25</v>
      </c>
      <c r="M121" s="32" t="n">
        <v>78.31816813</v>
      </c>
      <c r="N121" s="32" t="n">
        <v>18</v>
      </c>
      <c r="O121" s="32" t="n">
        <v>110.5</v>
      </c>
      <c r="P121" s="32" t="n">
        <v>72.7</v>
      </c>
      <c r="Q121" s="32" t="n">
        <v>196.5</v>
      </c>
      <c r="R121" s="32" t="n">
        <v>3.396</v>
      </c>
      <c r="S121" s="33" t="n">
        <v>41197</v>
      </c>
    </row>
    <row r="122" customFormat="false" ht="16.15" hidden="true" customHeight="false" outlineLevel="0" collapsed="false">
      <c r="A122" s="27" t="s">
        <v>174</v>
      </c>
      <c r="B122" s="28" t="s">
        <v>179</v>
      </c>
      <c r="C122" s="29" t="n">
        <v>35945</v>
      </c>
      <c r="D122" s="30" t="n">
        <v>23755</v>
      </c>
      <c r="E122" s="30" t="n">
        <v>13225</v>
      </c>
      <c r="F122" s="31" t="n">
        <f aca="false">SUM(E122/D122)</f>
        <v>0.556724900021048</v>
      </c>
      <c r="G122" s="31" t="str">
        <f aca="false">IF(F122&gt;69%, "GOOD", "POOR")</f>
        <v>POOR</v>
      </c>
      <c r="H122" s="32" t="n">
        <v>3.8</v>
      </c>
      <c r="I122" s="32" t="n">
        <v>205</v>
      </c>
      <c r="J122" s="32" t="str">
        <f aca="false" t="array" ref="J122:J122">_xlfn.IFS(I122&gt;299,"High HP",I122&gt;99,"Medium HP",I122&lt;100,"Low HP")</f>
        <v>Medium HP</v>
      </c>
      <c r="K122" s="32" t="s">
        <v>42</v>
      </c>
      <c r="L122" s="32" t="n">
        <v>24</v>
      </c>
      <c r="M122" s="32" t="n">
        <v>82.6613556</v>
      </c>
      <c r="N122" s="32" t="n">
        <v>17.5</v>
      </c>
      <c r="O122" s="32" t="n">
        <v>112.2</v>
      </c>
      <c r="P122" s="32" t="n">
        <v>72.6</v>
      </c>
      <c r="Q122" s="32" t="n">
        <v>202.5</v>
      </c>
      <c r="R122" s="32" t="n">
        <v>3.59</v>
      </c>
      <c r="S122" s="33" t="n">
        <v>40681</v>
      </c>
    </row>
    <row r="123" customFormat="false" ht="16.15" hidden="true" customHeight="false" outlineLevel="0" collapsed="false">
      <c r="A123" s="27" t="s">
        <v>174</v>
      </c>
      <c r="B123" s="28" t="s">
        <v>180</v>
      </c>
      <c r="C123" s="29" t="n">
        <v>39572</v>
      </c>
      <c r="D123" s="30" t="n">
        <v>25635</v>
      </c>
      <c r="E123" s="30" t="n">
        <v>14215</v>
      </c>
      <c r="F123" s="31" t="n">
        <f aca="false">SUM(E123/D123)</f>
        <v>0.554515311098108</v>
      </c>
      <c r="G123" s="31" t="str">
        <f aca="false">IF(F123&gt;69%, "GOOD", "POOR")</f>
        <v>POOR</v>
      </c>
      <c r="H123" s="32" t="n">
        <v>3.4</v>
      </c>
      <c r="I123" s="32" t="n">
        <v>185</v>
      </c>
      <c r="J123" s="32" t="str">
        <f aca="false" t="array" ref="J123:J123">_xlfn.IFS(I123&gt;299,"High HP",I123&gt;99,"Medium HP",I123&lt;100,"Low HP")</f>
        <v>Medium HP</v>
      </c>
      <c r="K123" s="32" t="s">
        <v>64</v>
      </c>
      <c r="L123" s="32" t="n">
        <v>23</v>
      </c>
      <c r="M123" s="32" t="n">
        <v>76.20843952</v>
      </c>
      <c r="N123" s="32" t="n">
        <v>25</v>
      </c>
      <c r="O123" s="32" t="n">
        <v>120</v>
      </c>
      <c r="P123" s="32" t="n">
        <v>72.7</v>
      </c>
      <c r="Q123" s="32" t="n">
        <v>201.3</v>
      </c>
      <c r="R123" s="32" t="n">
        <v>3.942</v>
      </c>
      <c r="S123" s="33" t="n">
        <v>41112</v>
      </c>
    </row>
    <row r="124" customFormat="false" ht="16.15" hidden="true" customHeight="false" outlineLevel="0" collapsed="false">
      <c r="A124" s="27" t="s">
        <v>181</v>
      </c>
      <c r="B124" s="28" t="s">
        <v>182</v>
      </c>
      <c r="C124" s="29" t="n">
        <v>8982</v>
      </c>
      <c r="D124" s="30" t="n">
        <v>41430</v>
      </c>
      <c r="E124" s="30" t="n">
        <v>41250</v>
      </c>
      <c r="F124" s="31" t="n">
        <f aca="false">SUM(E124/D124)</f>
        <v>0.995655322230268</v>
      </c>
      <c r="G124" s="31" t="str">
        <f aca="false">IF(F124&gt;69%, "GOOD", "POOR")</f>
        <v>GOOD</v>
      </c>
      <c r="H124" s="32" t="n">
        <v>2.7</v>
      </c>
      <c r="I124" s="32" t="n">
        <v>217</v>
      </c>
      <c r="J124" s="32" t="str">
        <f aca="false" t="array" ref="J124:J124">_xlfn.IFS(I124&gt;299,"High HP",I124&gt;99,"Medium HP",I124&lt;100,"Low HP")</f>
        <v>Medium HP</v>
      </c>
      <c r="K124" s="32" t="s">
        <v>42</v>
      </c>
      <c r="L124" s="32" t="n">
        <v>22</v>
      </c>
      <c r="M124" s="32" t="n">
        <v>93.4373307</v>
      </c>
      <c r="N124" s="32" t="n">
        <v>17</v>
      </c>
      <c r="O124" s="32" t="n">
        <v>95.2</v>
      </c>
      <c r="P124" s="32" t="n">
        <v>70.1</v>
      </c>
      <c r="Q124" s="32" t="n">
        <v>171</v>
      </c>
      <c r="R124" s="32" t="n">
        <v>2.778</v>
      </c>
      <c r="S124" s="33" t="n">
        <v>40958</v>
      </c>
    </row>
    <row r="125" customFormat="false" ht="16.15" hidden="true" customHeight="false" outlineLevel="0" collapsed="false">
      <c r="A125" s="27" t="s">
        <v>181</v>
      </c>
      <c r="B125" s="28" t="s">
        <v>183</v>
      </c>
      <c r="C125" s="29" t="n">
        <v>1280</v>
      </c>
      <c r="D125" s="30" t="n">
        <v>71020</v>
      </c>
      <c r="E125" s="30" t="n">
        <v>60625</v>
      </c>
      <c r="F125" s="31" t="n">
        <f aca="false">SUM(E125/D125)</f>
        <v>0.853632779498733</v>
      </c>
      <c r="G125" s="31" t="str">
        <f aca="false">IF(F125&gt;69%, "GOOD", "POOR")</f>
        <v>GOOD</v>
      </c>
      <c r="H125" s="32" t="n">
        <v>3.4</v>
      </c>
      <c r="I125" s="32" t="n">
        <v>300</v>
      </c>
      <c r="J125" s="32" t="str">
        <f aca="false" t="array" ref="J125:J125">_xlfn.IFS(I125&gt;299,"High HP",I125&gt;99,"Medium HP",I125&lt;100,"Low HP")</f>
        <v>High HP</v>
      </c>
      <c r="K125" s="32" t="s">
        <v>42</v>
      </c>
      <c r="L125" s="32" t="n">
        <v>21</v>
      </c>
      <c r="M125" s="32" t="n">
        <v>134.3909754</v>
      </c>
      <c r="N125" s="32" t="n">
        <v>17</v>
      </c>
      <c r="O125" s="32" t="n">
        <v>92.6</v>
      </c>
      <c r="P125" s="32" t="n">
        <v>69.5</v>
      </c>
      <c r="Q125" s="32" t="n">
        <v>174.5</v>
      </c>
      <c r="R125" s="32" t="n">
        <v>3.032</v>
      </c>
      <c r="S125" s="33" t="n">
        <v>41264</v>
      </c>
    </row>
    <row r="126" customFormat="false" ht="16.15" hidden="true" customHeight="false" outlineLevel="0" collapsed="false">
      <c r="A126" s="27" t="s">
        <v>181</v>
      </c>
      <c r="B126" s="28" t="s">
        <v>184</v>
      </c>
      <c r="C126" s="29" t="n">
        <v>1866</v>
      </c>
      <c r="D126" s="30" t="n">
        <v>74970</v>
      </c>
      <c r="E126" s="30" t="n">
        <v>67550</v>
      </c>
      <c r="F126" s="31" t="n">
        <f aca="false">SUM(E126/D126)</f>
        <v>0.901027077497666</v>
      </c>
      <c r="G126" s="31" t="str">
        <f aca="false">IF(F126&gt;69%, "GOOD", "POOR")</f>
        <v>GOOD</v>
      </c>
      <c r="H126" s="32" t="n">
        <v>3.4</v>
      </c>
      <c r="I126" s="32" t="n">
        <v>300</v>
      </c>
      <c r="J126" s="32" t="str">
        <f aca="false" t="array" ref="J126:J126">_xlfn.IFS(I126&gt;299,"High HP",I126&gt;99,"Medium HP",I126&lt;100,"Low HP")</f>
        <v>High HP</v>
      </c>
      <c r="K126" s="32" t="s">
        <v>42</v>
      </c>
      <c r="L126" s="32" t="n">
        <v>23</v>
      </c>
      <c r="M126" s="32" t="n">
        <v>135.9147096</v>
      </c>
      <c r="N126" s="32" t="n">
        <v>17</v>
      </c>
      <c r="O126" s="32" t="n">
        <v>92.6</v>
      </c>
      <c r="P126" s="32" t="n">
        <v>69.5</v>
      </c>
      <c r="Q126" s="32" t="n">
        <v>174.5</v>
      </c>
      <c r="R126" s="32" t="n">
        <v>3.075</v>
      </c>
      <c r="S126" s="33" t="n">
        <v>40735</v>
      </c>
    </row>
    <row r="127" customFormat="false" ht="16.15" hidden="true" customHeight="false" outlineLevel="0" collapsed="false">
      <c r="A127" s="27" t="s">
        <v>185</v>
      </c>
      <c r="B127" s="37" t="s">
        <v>186</v>
      </c>
      <c r="C127" s="29" t="n">
        <v>9191</v>
      </c>
      <c r="D127" s="30" t="n">
        <v>33120</v>
      </c>
      <c r="E127" s="30" t="n">
        <v>22789</v>
      </c>
      <c r="F127" s="31" t="n">
        <f aca="false">SUM(E127/D127)</f>
        <v>0.688073671497585</v>
      </c>
      <c r="G127" s="31" t="str">
        <f aca="false">IF(F127&gt;69%, "GOOD", "POOR")</f>
        <v>POOR</v>
      </c>
      <c r="H127" s="32" t="n">
        <v>2.3</v>
      </c>
      <c r="I127" s="32" t="n">
        <v>170</v>
      </c>
      <c r="J127" s="32" t="str">
        <f aca="false" t="array" ref="J127:J127">_xlfn.IFS(I127&gt;299,"High HP",I127&gt;99,"Medium HP",I127&lt;100,"Low HP")</f>
        <v>Medium HP</v>
      </c>
      <c r="K127" s="32" t="s">
        <v>42</v>
      </c>
      <c r="L127" s="32" t="n">
        <v>23</v>
      </c>
      <c r="M127" s="32" t="n">
        <v>73.50377819</v>
      </c>
      <c r="N127" s="32" t="n">
        <v>18.5</v>
      </c>
      <c r="O127" s="32" t="n">
        <v>106.4</v>
      </c>
      <c r="P127" s="32" t="n">
        <v>70.6</v>
      </c>
      <c r="Q127" s="32" t="n">
        <v>189.2</v>
      </c>
      <c r="R127" s="32" t="n">
        <v>3.28</v>
      </c>
      <c r="S127" s="33" t="n">
        <v>41222</v>
      </c>
    </row>
    <row r="128" customFormat="false" ht="16.15" hidden="true" customHeight="false" outlineLevel="0" collapsed="false">
      <c r="A128" s="27" t="s">
        <v>185</v>
      </c>
      <c r="B128" s="37" t="s">
        <v>187</v>
      </c>
      <c r="C128" s="29" t="n">
        <v>12115</v>
      </c>
      <c r="D128" s="30" t="n">
        <v>26100</v>
      </c>
      <c r="E128" s="30" t="n">
        <v>18255</v>
      </c>
      <c r="F128" s="31" t="n">
        <f aca="false">SUM(E128/D128)</f>
        <v>0.699425287356322</v>
      </c>
      <c r="G128" s="31" t="str">
        <f aca="false">IF(F128&gt;69%, "GOOD", "POOR")</f>
        <v>GOOD</v>
      </c>
      <c r="H128" s="32" t="n">
        <v>2</v>
      </c>
      <c r="I128" s="32" t="n">
        <v>185</v>
      </c>
      <c r="J128" s="32" t="str">
        <f aca="false" t="array" ref="J128:J128">_xlfn.IFS(I128&gt;299,"High HP",I128&gt;99,"Medium HP",I128&lt;100,"Low HP")</f>
        <v>Medium HP</v>
      </c>
      <c r="K128" s="32" t="s">
        <v>42</v>
      </c>
      <c r="L128" s="32" t="n">
        <v>23</v>
      </c>
      <c r="M128" s="32" t="n">
        <v>76.02304771</v>
      </c>
      <c r="N128" s="32" t="n">
        <v>16.9</v>
      </c>
      <c r="O128" s="32" t="n">
        <v>102.6</v>
      </c>
      <c r="P128" s="32" t="n">
        <v>67.4</v>
      </c>
      <c r="Q128" s="32" t="n">
        <v>182.2</v>
      </c>
      <c r="R128" s="32" t="n">
        <v>2.99</v>
      </c>
      <c r="S128" s="33" t="n">
        <v>40706</v>
      </c>
    </row>
    <row r="129" customFormat="false" ht="16.15" hidden="true" customHeight="false" outlineLevel="0" collapsed="false">
      <c r="A129" s="27" t="s">
        <v>188</v>
      </c>
      <c r="B129" s="28" t="s">
        <v>189</v>
      </c>
      <c r="C129" s="29" t="n">
        <v>80620</v>
      </c>
      <c r="D129" s="30" t="n">
        <v>10685</v>
      </c>
      <c r="E129" s="30" t="n">
        <v>9200</v>
      </c>
      <c r="F129" s="31" t="n">
        <f aca="false">SUM(E129/D129)</f>
        <v>0.861020121665887</v>
      </c>
      <c r="G129" s="31" t="str">
        <f aca="false">IF(F129&gt;69%, "GOOD", "POOR")</f>
        <v>GOOD</v>
      </c>
      <c r="H129" s="32" t="n">
        <v>1.9</v>
      </c>
      <c r="I129" s="32" t="n">
        <v>100</v>
      </c>
      <c r="J129" s="32" t="str">
        <f aca="false" t="array" ref="J129:J129">_xlfn.IFS(I129&gt;299,"High HP",I129&gt;99,"Medium HP",I129&lt;100,"Low HP")</f>
        <v>Medium HP</v>
      </c>
      <c r="K129" s="32" t="s">
        <v>42</v>
      </c>
      <c r="L129" s="32" t="n">
        <v>33</v>
      </c>
      <c r="M129" s="32" t="n">
        <v>39.98642475</v>
      </c>
      <c r="N129" s="32" t="n">
        <v>12.1</v>
      </c>
      <c r="O129" s="32" t="n">
        <v>102.4</v>
      </c>
      <c r="P129" s="32" t="n">
        <v>66.4</v>
      </c>
      <c r="Q129" s="32" t="n">
        <v>176.9</v>
      </c>
      <c r="R129" s="32" t="n">
        <v>2.332</v>
      </c>
      <c r="S129" s="33" t="n">
        <v>41137</v>
      </c>
    </row>
    <row r="130" customFormat="false" ht="16.15" hidden="true" customHeight="false" outlineLevel="0" collapsed="false">
      <c r="A130" s="27" t="s">
        <v>188</v>
      </c>
      <c r="B130" s="28" t="s">
        <v>190</v>
      </c>
      <c r="C130" s="29" t="n">
        <v>24546</v>
      </c>
      <c r="D130" s="30" t="n">
        <v>12535</v>
      </c>
      <c r="E130" s="30" t="n">
        <v>10590</v>
      </c>
      <c r="F130" s="31" t="n">
        <f aca="false">SUM(E130/D130)</f>
        <v>0.844834463502194</v>
      </c>
      <c r="G130" s="31" t="str">
        <f aca="false">IF(F130&gt;69%, "GOOD", "POOR")</f>
        <v>GOOD</v>
      </c>
      <c r="H130" s="32" t="n">
        <v>1.9</v>
      </c>
      <c r="I130" s="32" t="n">
        <v>100</v>
      </c>
      <c r="J130" s="32" t="str">
        <f aca="false" t="array" ref="J130:J130">_xlfn.IFS(I130&gt;299,"High HP",I130&gt;99,"Medium HP",I130&lt;100,"Low HP")</f>
        <v>Medium HP</v>
      </c>
      <c r="K130" s="32" t="s">
        <v>42</v>
      </c>
      <c r="L130" s="32" t="n">
        <v>33</v>
      </c>
      <c r="M130" s="32" t="n">
        <v>40.70007242</v>
      </c>
      <c r="N130" s="32" t="n">
        <v>12.1</v>
      </c>
      <c r="O130" s="32" t="n">
        <v>102.4</v>
      </c>
      <c r="P130" s="32" t="n">
        <v>66.4</v>
      </c>
      <c r="Q130" s="32" t="n">
        <v>180</v>
      </c>
      <c r="R130" s="32" t="n">
        <v>2.367</v>
      </c>
      <c r="S130" s="33" t="n">
        <v>40618</v>
      </c>
    </row>
    <row r="131" customFormat="false" ht="16.15" hidden="true" customHeight="false" outlineLevel="0" collapsed="false">
      <c r="A131" s="27" t="s">
        <v>188</v>
      </c>
      <c r="B131" s="28" t="s">
        <v>191</v>
      </c>
      <c r="C131" s="29" t="n">
        <v>5223</v>
      </c>
      <c r="D131" s="30" t="n">
        <v>14290</v>
      </c>
      <c r="E131" s="30" t="n">
        <v>10790</v>
      </c>
      <c r="F131" s="31" t="n">
        <f aca="false">SUM(E131/D131)</f>
        <v>0.755073477956613</v>
      </c>
      <c r="G131" s="31" t="str">
        <f aca="false">IF(F131&gt;69%, "GOOD", "POOR")</f>
        <v>GOOD</v>
      </c>
      <c r="H131" s="32" t="n">
        <v>1.9</v>
      </c>
      <c r="I131" s="32" t="n">
        <v>124</v>
      </c>
      <c r="J131" s="32" t="str">
        <f aca="false" t="array" ref="J131:J131">_xlfn.IFS(I131&gt;299,"High HP",I131&gt;99,"Medium HP",I131&lt;100,"Low HP")</f>
        <v>Medium HP</v>
      </c>
      <c r="K131" s="32" t="s">
        <v>42</v>
      </c>
      <c r="L131" s="32" t="n">
        <v>31</v>
      </c>
      <c r="M131" s="32" t="n">
        <v>49.86577367</v>
      </c>
      <c r="N131" s="32" t="n">
        <v>12.1</v>
      </c>
      <c r="O131" s="32" t="n">
        <v>102.4</v>
      </c>
      <c r="P131" s="32" t="n">
        <v>66.4</v>
      </c>
      <c r="Q131" s="32" t="n">
        <v>176.9</v>
      </c>
      <c r="R131" s="32" t="n">
        <v>2.452</v>
      </c>
      <c r="S131" s="33" t="n">
        <v>40558</v>
      </c>
    </row>
    <row r="132" customFormat="false" ht="16.15" hidden="true" customHeight="false" outlineLevel="0" collapsed="false">
      <c r="A132" s="27" t="s">
        <v>188</v>
      </c>
      <c r="B132" s="28" t="s">
        <v>192</v>
      </c>
      <c r="C132" s="29" t="n">
        <v>8472</v>
      </c>
      <c r="D132" s="30" t="n">
        <v>18835</v>
      </c>
      <c r="E132" s="30" t="n">
        <v>13700</v>
      </c>
      <c r="F132" s="31" t="n">
        <f aca="false">SUM(E132/D132)</f>
        <v>0.727369259357579</v>
      </c>
      <c r="G132" s="31" t="str">
        <f aca="false">IF(F132&gt;69%, "GOOD", "POOR")</f>
        <v>GOOD</v>
      </c>
      <c r="H132" s="32" t="n">
        <v>2.2</v>
      </c>
      <c r="I132" s="32" t="n">
        <v>137</v>
      </c>
      <c r="J132" s="32" t="str">
        <f aca="false" t="array" ref="J132:J132">_xlfn.IFS(I132&gt;299,"High HP",I132&gt;99,"Medium HP",I132&lt;100,"Low HP")</f>
        <v>Medium HP</v>
      </c>
      <c r="K132" s="32" t="s">
        <v>42</v>
      </c>
      <c r="L132" s="32" t="n">
        <v>27</v>
      </c>
      <c r="M132" s="32" t="n">
        <v>56.29524304</v>
      </c>
      <c r="N132" s="32" t="n">
        <v>13.1</v>
      </c>
      <c r="O132" s="32" t="n">
        <v>106.5</v>
      </c>
      <c r="P132" s="32" t="n">
        <v>69</v>
      </c>
      <c r="Q132" s="32" t="n">
        <v>190.4</v>
      </c>
      <c r="R132" s="32" t="n">
        <v>3.075</v>
      </c>
      <c r="S132" s="33" t="n">
        <v>40760</v>
      </c>
    </row>
    <row r="133" customFormat="false" ht="16.15" hidden="true" customHeight="false" outlineLevel="0" collapsed="false">
      <c r="A133" s="27" t="s">
        <v>188</v>
      </c>
      <c r="B133" s="28" t="s">
        <v>193</v>
      </c>
      <c r="C133" s="29" t="n">
        <v>49989</v>
      </c>
      <c r="D133" s="30" t="n">
        <v>15010</v>
      </c>
      <c r="E133" s="30" t="n">
        <v>9900</v>
      </c>
      <c r="F133" s="31" t="n">
        <f aca="false">SUM(E133/D133)</f>
        <v>0.659560293137908</v>
      </c>
      <c r="G133" s="31" t="str">
        <f aca="false">IF(F133&gt;69%, "GOOD", "POOR")</f>
        <v>POOR</v>
      </c>
      <c r="H133" s="32" t="n">
        <v>2.2</v>
      </c>
      <c r="I133" s="32" t="n">
        <v>137</v>
      </c>
      <c r="J133" s="32" t="str">
        <f aca="false" t="array" ref="J133:J133">_xlfn.IFS(I133&gt;299,"High HP",I133&gt;99,"Medium HP",I133&lt;100,"Low HP")</f>
        <v>Medium HP</v>
      </c>
      <c r="K133" s="32" t="s">
        <v>42</v>
      </c>
      <c r="L133" s="32" t="n">
        <v>28</v>
      </c>
      <c r="M133" s="32" t="n">
        <v>54.81972825</v>
      </c>
      <c r="N133" s="32" t="n">
        <v>13.1</v>
      </c>
      <c r="O133" s="32" t="n">
        <v>106.5</v>
      </c>
      <c r="P133" s="32" t="n">
        <v>69</v>
      </c>
      <c r="Q133" s="32" t="n">
        <v>190.4</v>
      </c>
      <c r="R133" s="32" t="n">
        <v>2.91</v>
      </c>
      <c r="S133" s="33" t="n">
        <v>41247</v>
      </c>
    </row>
    <row r="134" customFormat="false" ht="16.15" hidden="true" customHeight="false" outlineLevel="0" collapsed="false">
      <c r="A134" s="27" t="s">
        <v>8</v>
      </c>
      <c r="B134" s="28" t="s">
        <v>194</v>
      </c>
      <c r="C134" s="29" t="n">
        <v>47107</v>
      </c>
      <c r="D134" s="30" t="n">
        <v>22695</v>
      </c>
      <c r="E134" s="30" t="n">
        <v>16770</v>
      </c>
      <c r="F134" s="31" t="n">
        <f aca="false">SUM(E134/D134)</f>
        <v>0.738929279576999</v>
      </c>
      <c r="G134" s="31" t="str">
        <f aca="false">IF(F134&gt;69%, "GOOD", "POOR")</f>
        <v>GOOD</v>
      </c>
      <c r="H134" s="32" t="n">
        <v>2.5</v>
      </c>
      <c r="I134" s="32" t="n">
        <v>165</v>
      </c>
      <c r="J134" s="32" t="str">
        <f aca="false" t="array" ref="J134:J134">_xlfn.IFS(I134&gt;299,"High HP",I134&gt;99,"Medium HP",I134&lt;100,"Low HP")</f>
        <v>Medium HP</v>
      </c>
      <c r="K134" s="32" t="s">
        <v>42</v>
      </c>
      <c r="L134" s="32" t="n">
        <v>25</v>
      </c>
      <c r="M134" s="32" t="n">
        <v>67.7659076</v>
      </c>
      <c r="N134" s="32" t="n">
        <v>16.9</v>
      </c>
      <c r="O134" s="32" t="n">
        <v>103.5</v>
      </c>
      <c r="P134" s="32" t="n">
        <v>67.5</v>
      </c>
      <c r="Q134" s="32" t="n">
        <v>185.8</v>
      </c>
      <c r="R134" s="32" t="n">
        <v>3.415</v>
      </c>
      <c r="S134" s="33" t="n">
        <v>40731</v>
      </c>
    </row>
    <row r="135" customFormat="false" ht="16.15" hidden="true" customHeight="false" outlineLevel="0" collapsed="false">
      <c r="A135" s="27" t="s">
        <v>8</v>
      </c>
      <c r="B135" s="28" t="s">
        <v>195</v>
      </c>
      <c r="C135" s="29" t="n">
        <v>33028</v>
      </c>
      <c r="D135" s="30" t="n">
        <v>20095</v>
      </c>
      <c r="E135" s="30" t="n">
        <v>14832</v>
      </c>
      <c r="F135" s="31" t="n">
        <f aca="false">SUM(E135/D135)</f>
        <v>0.738094053247076</v>
      </c>
      <c r="G135" s="31" t="str">
        <f aca="false">IF(F135&gt;69%, "GOOD", "POOR")</f>
        <v>GOOD</v>
      </c>
      <c r="H135" s="32" t="n">
        <v>2.5</v>
      </c>
      <c r="I135" s="32" t="n">
        <v>165</v>
      </c>
      <c r="J135" s="32" t="str">
        <f aca="false" t="array" ref="J135:J135">_xlfn.IFS(I135&gt;299,"High HP",I135&gt;99,"Medium HP",I135&lt;100,"Low HP")</f>
        <v>Medium HP</v>
      </c>
      <c r="K135" s="32" t="s">
        <v>64</v>
      </c>
      <c r="L135" s="32" t="n">
        <v>24</v>
      </c>
      <c r="M135" s="32" t="n">
        <v>66.76294331</v>
      </c>
      <c r="N135" s="32" t="n">
        <v>15.9</v>
      </c>
      <c r="O135" s="32" t="n">
        <v>99.4</v>
      </c>
      <c r="P135" s="32" t="n">
        <v>68.3</v>
      </c>
      <c r="Q135" s="32" t="n">
        <v>175.2</v>
      </c>
      <c r="R135" s="32" t="n">
        <v>3.125</v>
      </c>
      <c r="S135" s="33" t="n">
        <v>41162</v>
      </c>
    </row>
    <row r="136" customFormat="false" ht="16.15" hidden="false" customHeight="false" outlineLevel="0" collapsed="false">
      <c r="A136" s="27" t="s">
        <v>9</v>
      </c>
      <c r="B136" s="28" t="s">
        <v>13</v>
      </c>
      <c r="C136" s="29" t="n">
        <v>68411</v>
      </c>
      <c r="D136" s="30" t="n">
        <v>22288</v>
      </c>
      <c r="E136" s="30" t="n">
        <v>19425</v>
      </c>
      <c r="F136" s="31" t="n">
        <f aca="false">SUM(E136/D136)</f>
        <v>0.871545226130653</v>
      </c>
      <c r="G136" s="31" t="str">
        <f aca="false">IF(F136&gt;69%, "GOOD", "POOR")</f>
        <v>GOOD</v>
      </c>
      <c r="H136" s="32" t="n">
        <v>2.7</v>
      </c>
      <c r="I136" s="32" t="n">
        <v>150</v>
      </c>
      <c r="J136" s="32" t="str">
        <f aca="false" t="array" ref="J136:J136">_xlfn.IFS(I136&gt;299,"High HP",I136&gt;99,"Medium HP",I136&lt;100,"Low HP")</f>
        <v>Medium HP</v>
      </c>
      <c r="K136" s="32" t="s">
        <v>64</v>
      </c>
      <c r="L136" s="32" t="n">
        <v>23</v>
      </c>
      <c r="M136" s="32" t="n">
        <v>62.35557713</v>
      </c>
      <c r="N136" s="32" t="n">
        <v>18.5</v>
      </c>
      <c r="O136" s="32" t="n">
        <v>105.3</v>
      </c>
      <c r="P136" s="32" t="n">
        <v>66.5</v>
      </c>
      <c r="Q136" s="32" t="n">
        <v>183.3</v>
      </c>
      <c r="R136" s="32" t="n">
        <v>3.44</v>
      </c>
      <c r="S136" s="33" t="n">
        <v>40609</v>
      </c>
    </row>
    <row r="137" customFormat="false" ht="16.15" hidden="false" customHeight="false" outlineLevel="0" collapsed="false">
      <c r="A137" s="27" t="s">
        <v>9</v>
      </c>
      <c r="B137" s="28" t="s">
        <v>14</v>
      </c>
      <c r="C137" s="29" t="n">
        <v>63849</v>
      </c>
      <c r="D137" s="30" t="n">
        <v>25545</v>
      </c>
      <c r="E137" s="30" t="n">
        <v>18140</v>
      </c>
      <c r="F137" s="31" t="n">
        <f aca="false">SUM(E137/D137)</f>
        <v>0.710119397142298</v>
      </c>
      <c r="G137" s="31" t="str">
        <f aca="false">IF(F137&gt;69%, "GOOD", "POOR")</f>
        <v>GOOD</v>
      </c>
      <c r="H137" s="32" t="n">
        <v>3</v>
      </c>
      <c r="I137" s="32" t="n">
        <v>210</v>
      </c>
      <c r="J137" s="32" t="str">
        <f aca="false" t="array" ref="J137:J137">_xlfn.IFS(I137&gt;299,"High HP",I137&gt;99,"Medium HP",I137&lt;100,"Low HP")</f>
        <v>Medium HP</v>
      </c>
      <c r="K137" s="32" t="s">
        <v>42</v>
      </c>
      <c r="L137" s="32" t="n">
        <v>26</v>
      </c>
      <c r="M137" s="32" t="n">
        <v>84.91189826</v>
      </c>
      <c r="N137" s="32" t="n">
        <v>18.5</v>
      </c>
      <c r="O137" s="32" t="n">
        <v>107.1</v>
      </c>
      <c r="P137" s="32" t="n">
        <v>71.7</v>
      </c>
      <c r="Q137" s="32" t="n">
        <v>191.9</v>
      </c>
      <c r="R137" s="32" t="n">
        <v>3.417</v>
      </c>
      <c r="S137" s="33" t="n">
        <v>40786</v>
      </c>
    </row>
    <row r="138" customFormat="false" ht="16.15" hidden="false" customHeight="false" outlineLevel="0" collapsed="false">
      <c r="A138" s="27" t="s">
        <v>9</v>
      </c>
      <c r="B138" s="28" t="s">
        <v>15</v>
      </c>
      <c r="C138" s="29" t="n">
        <v>247994</v>
      </c>
      <c r="D138" s="30" t="n">
        <v>17518</v>
      </c>
      <c r="E138" s="30" t="n">
        <v>13245</v>
      </c>
      <c r="F138" s="31" t="n">
        <f aca="false">SUM(E138/D138)</f>
        <v>0.756079461125699</v>
      </c>
      <c r="G138" s="31" t="str">
        <f aca="false">IF(F138&gt;69%, "GOOD", "POOR")</f>
        <v>GOOD</v>
      </c>
      <c r="H138" s="32" t="n">
        <v>2.2</v>
      </c>
      <c r="I138" s="32" t="n">
        <v>133</v>
      </c>
      <c r="J138" s="32" t="str">
        <f aca="false" t="array" ref="J138:J138">_xlfn.IFS(I138&gt;299,"High HP",I138&gt;99,"Medium HP",I138&lt;100,"Low HP")</f>
        <v>Medium HP</v>
      </c>
      <c r="K138" s="32" t="s">
        <v>42</v>
      </c>
      <c r="L138" s="32" t="n">
        <v>27</v>
      </c>
      <c r="M138" s="32" t="n">
        <v>54.37241965</v>
      </c>
      <c r="N138" s="32" t="n">
        <v>18.5</v>
      </c>
      <c r="O138" s="32" t="n">
        <v>105.2</v>
      </c>
      <c r="P138" s="32" t="n">
        <v>70.1</v>
      </c>
      <c r="Q138" s="32" t="n">
        <v>188.5</v>
      </c>
      <c r="R138" s="32" t="n">
        <v>2.998</v>
      </c>
      <c r="S138" s="33" t="n">
        <v>40584</v>
      </c>
    </row>
    <row r="139" customFormat="false" ht="16.15" hidden="false" customHeight="false" outlineLevel="0" collapsed="false">
      <c r="A139" s="27" t="s">
        <v>9</v>
      </c>
      <c r="B139" s="28" t="s">
        <v>16</v>
      </c>
      <c r="C139" s="29" t="n">
        <v>33269</v>
      </c>
      <c r="D139" s="30" t="n">
        <v>16875</v>
      </c>
      <c r="E139" s="30" t="n">
        <v>15445</v>
      </c>
      <c r="F139" s="31" t="n">
        <f aca="false">SUM(E139/D139)</f>
        <v>0.915259259259259</v>
      </c>
      <c r="G139" s="31" t="str">
        <f aca="false">IF(F139&gt;69%, "GOOD", "POOR")</f>
        <v>GOOD</v>
      </c>
      <c r="H139" s="32" t="n">
        <v>1.8</v>
      </c>
      <c r="I139" s="32" t="n">
        <v>140</v>
      </c>
      <c r="J139" s="32" t="str">
        <f aca="false" t="array" ref="J139:J139">_xlfn.IFS(I139&gt;299,"High HP",I139&gt;99,"Medium HP",I139&lt;100,"Low HP")</f>
        <v>Medium HP</v>
      </c>
      <c r="K139" s="32" t="s">
        <v>42</v>
      </c>
      <c r="L139" s="32" t="n">
        <v>31</v>
      </c>
      <c r="M139" s="32" t="n">
        <v>56.49603034</v>
      </c>
      <c r="N139" s="32" t="n">
        <v>14.5</v>
      </c>
      <c r="O139" s="32" t="n">
        <v>102.4</v>
      </c>
      <c r="P139" s="32" t="n">
        <v>68.3</v>
      </c>
      <c r="Q139" s="32" t="n">
        <v>170.5</v>
      </c>
      <c r="R139" s="32" t="n">
        <v>2.425</v>
      </c>
      <c r="S139" s="33" t="n">
        <v>41272</v>
      </c>
    </row>
    <row r="140" customFormat="false" ht="16.15" hidden="false" customHeight="false" outlineLevel="0" collapsed="false">
      <c r="A140" s="27" t="s">
        <v>9</v>
      </c>
      <c r="B140" s="28" t="s">
        <v>17</v>
      </c>
      <c r="C140" s="29" t="n">
        <v>142535</v>
      </c>
      <c r="D140" s="30" t="n">
        <v>13108</v>
      </c>
      <c r="E140" s="30" t="n">
        <v>10025</v>
      </c>
      <c r="F140" s="31" t="n">
        <f aca="false">SUM(E140/D140)</f>
        <v>0.764800122062862</v>
      </c>
      <c r="G140" s="31" t="str">
        <f aca="false">IF(F140&gt;69%, "GOOD", "POOR")</f>
        <v>GOOD</v>
      </c>
      <c r="H140" s="32" t="n">
        <v>1.8</v>
      </c>
      <c r="I140" s="32" t="n">
        <v>120</v>
      </c>
      <c r="J140" s="32" t="str">
        <f aca="false" t="array" ref="J140:J140">_xlfn.IFS(I140&gt;299,"High HP",I140&gt;99,"Medium HP",I140&lt;100,"Low HP")</f>
        <v>Medium HP</v>
      </c>
      <c r="K140" s="32" t="s">
        <v>42</v>
      </c>
      <c r="L140" s="32" t="n">
        <v>33</v>
      </c>
      <c r="M140" s="32" t="n">
        <v>47.96897242</v>
      </c>
      <c r="N140" s="32" t="n">
        <v>13.2</v>
      </c>
      <c r="O140" s="32" t="n">
        <v>97</v>
      </c>
      <c r="P140" s="32" t="n">
        <v>66.7</v>
      </c>
      <c r="Q140" s="32" t="n">
        <v>174</v>
      </c>
      <c r="R140" s="32" t="n">
        <v>2.42</v>
      </c>
      <c r="S140" s="33" t="n">
        <v>40644</v>
      </c>
    </row>
    <row r="141" customFormat="false" ht="16.15" hidden="false" customHeight="false" outlineLevel="0" collapsed="false">
      <c r="A141" s="27" t="s">
        <v>9</v>
      </c>
      <c r="B141" s="28" t="s">
        <v>18</v>
      </c>
      <c r="C141" s="29" t="n">
        <v>9835</v>
      </c>
      <c r="D141" s="30" t="n">
        <v>51728</v>
      </c>
      <c r="E141" s="30" t="n">
        <v>34080</v>
      </c>
      <c r="F141" s="31" t="n">
        <f aca="false">SUM(E141/D141)</f>
        <v>0.658830807299722</v>
      </c>
      <c r="G141" s="31" t="str">
        <f aca="false">IF(F141&gt;69%, "GOOD", "POOR")</f>
        <v>POOR</v>
      </c>
      <c r="H141" s="32" t="n">
        <v>4.7</v>
      </c>
      <c r="I141" s="32" t="n">
        <v>230</v>
      </c>
      <c r="J141" s="32" t="str">
        <f aca="false" t="array" ref="J141:J141">_xlfn.IFS(I141&gt;299,"High HP",I141&gt;99,"Medium HP",I141&lt;100,"Low HP")</f>
        <v>Medium HP</v>
      </c>
      <c r="K141" s="32" t="s">
        <v>64</v>
      </c>
      <c r="L141" s="32" t="n">
        <v>15</v>
      </c>
      <c r="M141" s="32" t="n">
        <v>102.5289842</v>
      </c>
      <c r="N141" s="32" t="n">
        <v>25.4</v>
      </c>
      <c r="O141" s="32" t="n">
        <v>112.2</v>
      </c>
      <c r="P141" s="32" t="n">
        <v>76.4</v>
      </c>
      <c r="Q141" s="32" t="n">
        <v>192.5</v>
      </c>
      <c r="R141" s="32" t="n">
        <v>5.115</v>
      </c>
      <c r="S141" s="33" t="n">
        <v>40811</v>
      </c>
    </row>
    <row r="142" customFormat="false" ht="16.15" hidden="false" customHeight="false" outlineLevel="0" collapsed="false">
      <c r="A142" s="27" t="s">
        <v>9</v>
      </c>
      <c r="B142" s="28" t="s">
        <v>19</v>
      </c>
      <c r="C142" s="29" t="n">
        <v>25106</v>
      </c>
      <c r="D142" s="30" t="n">
        <v>16888</v>
      </c>
      <c r="E142" s="30" t="n">
        <v>13325</v>
      </c>
      <c r="F142" s="31" t="n">
        <f aca="false">SUM(E142/D142)</f>
        <v>0.789021790620559</v>
      </c>
      <c r="G142" s="31" t="str">
        <f aca="false">IF(F142&gt;69%, "GOOD", "POOR")</f>
        <v>GOOD</v>
      </c>
      <c r="H142" s="32" t="n">
        <v>2</v>
      </c>
      <c r="I142" s="32" t="n">
        <v>127</v>
      </c>
      <c r="J142" s="32" t="str">
        <f aca="false" t="array" ref="J142:J142">_xlfn.IFS(I142&gt;299,"High HP",I142&gt;99,"Medium HP",I142&lt;100,"Low HP")</f>
        <v>Medium HP</v>
      </c>
      <c r="K142" s="32" t="s">
        <v>64</v>
      </c>
      <c r="L142" s="32" t="n">
        <v>27</v>
      </c>
      <c r="M142" s="32" t="n">
        <v>51.95510887</v>
      </c>
      <c r="N142" s="32" t="n">
        <v>15.3</v>
      </c>
      <c r="O142" s="32" t="n">
        <v>94.9</v>
      </c>
      <c r="P142" s="32" t="n">
        <v>66.7</v>
      </c>
      <c r="Q142" s="32" t="n">
        <v>163.8</v>
      </c>
      <c r="R142" s="32" t="n">
        <v>2.668</v>
      </c>
      <c r="S142" s="33" t="n">
        <v>40669</v>
      </c>
    </row>
    <row r="143" customFormat="false" ht="16.15" hidden="false" customHeight="false" outlineLevel="0" collapsed="false">
      <c r="A143" s="27" t="s">
        <v>9</v>
      </c>
      <c r="B143" s="28" t="s">
        <v>20</v>
      </c>
      <c r="C143" s="29" t="n">
        <v>65119</v>
      </c>
      <c r="D143" s="30" t="n">
        <v>22368</v>
      </c>
      <c r="E143" s="30" t="n">
        <v>18689</v>
      </c>
      <c r="F143" s="31" t="n">
        <f aca="false">SUM(E143/D143)</f>
        <v>0.835523962804006</v>
      </c>
      <c r="G143" s="31" t="str">
        <f aca="false">IF(F143&gt;69%, "GOOD", "POOR")</f>
        <v>GOOD</v>
      </c>
      <c r="H143" s="32" t="n">
        <v>3</v>
      </c>
      <c r="I143" s="32" t="n">
        <v>194</v>
      </c>
      <c r="J143" s="32" t="str">
        <f aca="false" t="array" ref="J143:J143">_xlfn.IFS(I143&gt;299,"High HP",I143&gt;99,"Medium HP",I143&lt;100,"Low HP")</f>
        <v>Medium HP</v>
      </c>
      <c r="K143" s="32" t="s">
        <v>64</v>
      </c>
      <c r="L143" s="32" t="n">
        <v>22</v>
      </c>
      <c r="M143" s="32" t="n">
        <v>78.02721947</v>
      </c>
      <c r="N143" s="32" t="n">
        <v>20.9</v>
      </c>
      <c r="O143" s="32" t="n">
        <v>114.2</v>
      </c>
      <c r="P143" s="32" t="n">
        <v>73.4</v>
      </c>
      <c r="Q143" s="32" t="n">
        <v>193.5</v>
      </c>
      <c r="R143" s="32" t="n">
        <v>3.759</v>
      </c>
      <c r="S143" s="33" t="n">
        <v>41187</v>
      </c>
    </row>
    <row r="144" customFormat="false" ht="16.15" hidden="false" customHeight="false" outlineLevel="0" collapsed="false">
      <c r="A144" s="27" t="s">
        <v>9</v>
      </c>
      <c r="B144" s="28" t="s">
        <v>21</v>
      </c>
      <c r="C144" s="29" t="n">
        <v>84087</v>
      </c>
      <c r="D144" s="30" t="n">
        <v>11528</v>
      </c>
      <c r="E144" s="30" t="n">
        <v>9575</v>
      </c>
      <c r="F144" s="31" t="n">
        <f aca="false">SUM(E144/D144)</f>
        <v>0.83058639833449</v>
      </c>
      <c r="G144" s="31" t="str">
        <f aca="false">IF(F144&gt;69%, "GOOD", "POOR")</f>
        <v>GOOD</v>
      </c>
      <c r="H144" s="32" t="n">
        <v>2.4</v>
      </c>
      <c r="I144" s="32" t="n">
        <v>142</v>
      </c>
      <c r="J144" s="32" t="str">
        <f aca="false" t="array" ref="J144:J144">_xlfn.IFS(I144&gt;299,"High HP",I144&gt;99,"Medium HP",I144&lt;100,"Low HP")</f>
        <v>Medium HP</v>
      </c>
      <c r="K144" s="32" t="s">
        <v>64</v>
      </c>
      <c r="L144" s="32" t="n">
        <v>23</v>
      </c>
      <c r="M144" s="32" t="n">
        <v>55.29711658</v>
      </c>
      <c r="N144" s="32" t="n">
        <v>15.1</v>
      </c>
      <c r="O144" s="32" t="n">
        <v>103.3</v>
      </c>
      <c r="P144" s="32" t="n">
        <v>66.5</v>
      </c>
      <c r="Q144" s="32" t="n">
        <v>178.7</v>
      </c>
      <c r="R144" s="32" t="n">
        <v>2.58</v>
      </c>
      <c r="S144" s="33" t="n">
        <v>40756</v>
      </c>
    </row>
    <row r="145" customFormat="false" ht="16.15" hidden="true" customHeight="false" outlineLevel="0" collapsed="false">
      <c r="A145" s="27" t="s">
        <v>196</v>
      </c>
      <c r="B145" s="28" t="s">
        <v>197</v>
      </c>
      <c r="C145" s="29" t="n">
        <v>9761</v>
      </c>
      <c r="D145" s="30" t="n">
        <v>14900</v>
      </c>
      <c r="E145" s="30" t="n">
        <v>11425</v>
      </c>
      <c r="F145" s="31" t="n">
        <f aca="false">SUM(E145/D145)</f>
        <v>0.766778523489933</v>
      </c>
      <c r="G145" s="31" t="str">
        <f aca="false">IF(F145&gt;69%, "GOOD", "POOR")</f>
        <v>GOOD</v>
      </c>
      <c r="H145" s="32" t="n">
        <v>2</v>
      </c>
      <c r="I145" s="32" t="n">
        <v>115</v>
      </c>
      <c r="J145" s="32" t="str">
        <f aca="false" t="array" ref="J145:J145">_xlfn.IFS(I145&gt;299,"High HP",I145&gt;99,"Medium HP",I145&lt;100,"Low HP")</f>
        <v>Medium HP</v>
      </c>
      <c r="K145" s="32" t="s">
        <v>42</v>
      </c>
      <c r="L145" s="32" t="n">
        <v>26</v>
      </c>
      <c r="M145" s="32" t="n">
        <v>46.94387676</v>
      </c>
      <c r="N145" s="32" t="n">
        <v>14.5</v>
      </c>
      <c r="O145" s="32" t="n">
        <v>98.9</v>
      </c>
      <c r="P145" s="32" t="n">
        <v>68.3</v>
      </c>
      <c r="Q145" s="32" t="n">
        <v>163.3</v>
      </c>
      <c r="R145" s="32" t="n">
        <v>2.767</v>
      </c>
      <c r="S145" s="33" t="n">
        <v>40567</v>
      </c>
    </row>
    <row r="146" customFormat="false" ht="16.15" hidden="true" customHeight="false" outlineLevel="0" collapsed="false">
      <c r="A146" s="27" t="s">
        <v>196</v>
      </c>
      <c r="B146" s="28" t="s">
        <v>198</v>
      </c>
      <c r="C146" s="29" t="n">
        <v>83721</v>
      </c>
      <c r="D146" s="30" t="n">
        <v>16700</v>
      </c>
      <c r="E146" s="30" t="n">
        <v>13240</v>
      </c>
      <c r="F146" s="31" t="n">
        <f aca="false">SUM(E146/D146)</f>
        <v>0.792814371257485</v>
      </c>
      <c r="G146" s="31" t="str">
        <f aca="false">IF(F146&gt;69%, "GOOD", "POOR")</f>
        <v>GOOD</v>
      </c>
      <c r="H146" s="32" t="n">
        <v>2</v>
      </c>
      <c r="I146" s="32" t="n">
        <v>115</v>
      </c>
      <c r="J146" s="32" t="str">
        <f aca="false" t="array" ref="J146:J146">_xlfn.IFS(I146&gt;299,"High HP",I146&gt;99,"Medium HP",I146&lt;100,"Low HP")</f>
        <v>Medium HP</v>
      </c>
      <c r="K146" s="32" t="s">
        <v>42</v>
      </c>
      <c r="L146" s="32" t="n">
        <v>26</v>
      </c>
      <c r="M146" s="32" t="n">
        <v>47.63823666</v>
      </c>
      <c r="N146" s="32" t="n">
        <v>14.5</v>
      </c>
      <c r="O146" s="32" t="n">
        <v>98.9</v>
      </c>
      <c r="P146" s="32" t="n">
        <v>68.3</v>
      </c>
      <c r="Q146" s="32" t="n">
        <v>172.3</v>
      </c>
      <c r="R146" s="32" t="n">
        <v>2.853</v>
      </c>
      <c r="S146" s="33" t="n">
        <v>40782</v>
      </c>
    </row>
    <row r="147" customFormat="false" ht="16.15" hidden="true" customHeight="false" outlineLevel="0" collapsed="false">
      <c r="A147" s="27" t="s">
        <v>196</v>
      </c>
      <c r="B147" s="28" t="s">
        <v>199</v>
      </c>
      <c r="C147" s="29" t="n">
        <v>51102</v>
      </c>
      <c r="D147" s="30" t="n">
        <v>21200</v>
      </c>
      <c r="E147" s="30" t="n">
        <v>16725</v>
      </c>
      <c r="F147" s="31" t="n">
        <f aca="false">SUM(E147/D147)</f>
        <v>0.788915094339623</v>
      </c>
      <c r="G147" s="31" t="str">
        <f aca="false">IF(F147&gt;69%, "GOOD", "POOR")</f>
        <v>GOOD</v>
      </c>
      <c r="H147" s="32" t="n">
        <v>1.8</v>
      </c>
      <c r="I147" s="32" t="n">
        <v>150</v>
      </c>
      <c r="J147" s="32" t="str">
        <f aca="false" t="array" ref="J147:J147">_xlfn.IFS(I147&gt;299,"High HP",I147&gt;99,"Medium HP",I147&lt;100,"Low HP")</f>
        <v>Medium HP</v>
      </c>
      <c r="K147" s="32" t="s">
        <v>42</v>
      </c>
      <c r="L147" s="32" t="n">
        <v>27</v>
      </c>
      <c r="M147" s="32" t="n">
        <v>61.70138136</v>
      </c>
      <c r="N147" s="32" t="n">
        <v>16.4</v>
      </c>
      <c r="O147" s="32" t="n">
        <v>106.4</v>
      </c>
      <c r="P147" s="32" t="n">
        <v>68.5</v>
      </c>
      <c r="Q147" s="32" t="n">
        <v>184.1</v>
      </c>
      <c r="R147" s="32" t="n">
        <v>3.043</v>
      </c>
      <c r="S147" s="33" t="n">
        <v>41212</v>
      </c>
    </row>
    <row r="148" customFormat="false" ht="16.15" hidden="true" customHeight="false" outlineLevel="0" collapsed="false">
      <c r="A148" s="27" t="s">
        <v>196</v>
      </c>
      <c r="B148" s="28" t="s">
        <v>200</v>
      </c>
      <c r="C148" s="29" t="n">
        <v>9569</v>
      </c>
      <c r="D148" s="30" t="n">
        <v>19990</v>
      </c>
      <c r="E148" s="30" t="n">
        <v>16575</v>
      </c>
      <c r="F148" s="31" t="n">
        <f aca="false">SUM(E148/D148)</f>
        <v>0.829164582291146</v>
      </c>
      <c r="G148" s="31" t="str">
        <f aca="false">IF(F148&gt;69%, "GOOD", "POOR")</f>
        <v>GOOD</v>
      </c>
      <c r="H148" s="32" t="n">
        <v>2</v>
      </c>
      <c r="I148" s="32" t="n">
        <v>115</v>
      </c>
      <c r="J148" s="32" t="str">
        <f aca="false" t="array" ref="J148:J148">_xlfn.IFS(I148&gt;299,"High HP",I148&gt;99,"Medium HP",I148&lt;100,"Low HP")</f>
        <v>Medium HP</v>
      </c>
      <c r="K148" s="32" t="s">
        <v>42</v>
      </c>
      <c r="L148" s="32" t="n">
        <v>26</v>
      </c>
      <c r="M148" s="32" t="n">
        <v>48.90737225</v>
      </c>
      <c r="N148" s="32" t="n">
        <v>13.7</v>
      </c>
      <c r="O148" s="32" t="n">
        <v>97.4</v>
      </c>
      <c r="P148" s="32" t="n">
        <v>66.7</v>
      </c>
      <c r="Q148" s="32" t="n">
        <v>160.4</v>
      </c>
      <c r="R148" s="32" t="n">
        <v>3.079</v>
      </c>
      <c r="S148" s="33" t="n">
        <v>40694</v>
      </c>
    </row>
    <row r="149" customFormat="false" ht="16.15" hidden="true" customHeight="false" outlineLevel="0" collapsed="false">
      <c r="A149" s="27" t="s">
        <v>196</v>
      </c>
      <c r="B149" s="28" t="s">
        <v>201</v>
      </c>
      <c r="C149" s="29" t="n">
        <v>5596</v>
      </c>
      <c r="D149" s="30" t="n">
        <v>17500</v>
      </c>
      <c r="E149" s="30" t="n">
        <v>13760</v>
      </c>
      <c r="F149" s="31" t="n">
        <f aca="false">SUM(E149/D149)</f>
        <v>0.786285714285714</v>
      </c>
      <c r="G149" s="31" t="str">
        <f aca="false">IF(F149&gt;69%, "GOOD", "POOR")</f>
        <v>GOOD</v>
      </c>
      <c r="H149" s="32" t="n">
        <v>2</v>
      </c>
      <c r="I149" s="32" t="n">
        <v>115</v>
      </c>
      <c r="J149" s="32" t="str">
        <f aca="false" t="array" ref="J149:J149">_xlfn.IFS(I149&gt;299,"High HP",I149&gt;99,"Medium HP",I149&lt;100,"Low HP")</f>
        <v>Medium HP</v>
      </c>
      <c r="K149" s="32" t="s">
        <v>42</v>
      </c>
      <c r="L149" s="32" t="n">
        <v>26</v>
      </c>
      <c r="M149" s="32" t="n">
        <v>47.94684106</v>
      </c>
      <c r="N149" s="32" t="n">
        <v>14.6</v>
      </c>
      <c r="O149" s="32" t="n">
        <v>98.9</v>
      </c>
      <c r="P149" s="32" t="n">
        <v>68.3</v>
      </c>
      <c r="Q149" s="32" t="n">
        <v>163.3</v>
      </c>
      <c r="R149" s="32" t="n">
        <v>2.762</v>
      </c>
      <c r="S149" s="33" t="n">
        <v>40634</v>
      </c>
    </row>
    <row r="150" customFormat="false" ht="16.15" hidden="true" customHeight="false" outlineLevel="0" collapsed="false">
      <c r="A150" s="27" t="s">
        <v>196</v>
      </c>
      <c r="B150" s="28" t="s">
        <v>202</v>
      </c>
      <c r="C150" s="29" t="n">
        <v>49463</v>
      </c>
      <c r="D150" s="30" t="n">
        <v>15900</v>
      </c>
      <c r="E150" s="30" t="n">
        <v>11986</v>
      </c>
      <c r="F150" s="31" t="n">
        <f aca="false">SUM(E150/D150)</f>
        <v>0.753836477987421</v>
      </c>
      <c r="G150" s="31" t="str">
        <f aca="false">IF(F150&gt;69%, "GOOD", "POOR")</f>
        <v>GOOD</v>
      </c>
      <c r="H150" s="32" t="n">
        <v>2</v>
      </c>
      <c r="I150" s="32" t="n">
        <v>115</v>
      </c>
      <c r="J150" s="32" t="str">
        <f aca="false" t="array" ref="J150:J150">_xlfn.IFS(I150&gt;299,"High HP",I150&gt;99,"Medium HP",I150&lt;100,"Low HP")</f>
        <v>Medium HP</v>
      </c>
      <c r="K150" s="32" t="s">
        <v>42</v>
      </c>
      <c r="L150" s="32" t="n">
        <v>26</v>
      </c>
      <c r="M150" s="32" t="n">
        <v>47.32963226</v>
      </c>
      <c r="N150" s="32" t="n">
        <v>14.5</v>
      </c>
      <c r="O150" s="32" t="n">
        <v>98.9</v>
      </c>
      <c r="P150" s="32" t="n">
        <v>67.9</v>
      </c>
      <c r="Q150" s="32" t="n">
        <v>161.1</v>
      </c>
      <c r="R150" s="32" t="n">
        <v>2.769</v>
      </c>
      <c r="S150" s="33" t="n">
        <v>40836</v>
      </c>
    </row>
    <row r="151" customFormat="false" ht="16.15" hidden="true" customHeight="false" outlineLevel="0" collapsed="false">
      <c r="A151" s="27" t="s">
        <v>203</v>
      </c>
      <c r="B151" s="28" t="s">
        <v>204</v>
      </c>
      <c r="C151" s="29" t="n">
        <v>16957</v>
      </c>
      <c r="D151" s="30" t="n">
        <v>23400</v>
      </c>
      <c r="E151" s="30" t="n">
        <v>14334</v>
      </c>
      <c r="F151" s="31" t="n">
        <f aca="false">SUM(E151/D151)</f>
        <v>0.612564102564103</v>
      </c>
      <c r="G151" s="31" t="str">
        <f aca="false">IF(F151&gt;69%, "GOOD", "POOR")</f>
        <v>POOR</v>
      </c>
      <c r="H151" s="32" t="n">
        <v>1.9</v>
      </c>
      <c r="I151" s="32" t="n">
        <v>160</v>
      </c>
      <c r="J151" s="32" t="str">
        <f aca="false" t="array" ref="J151:J151">_xlfn.IFS(I151&gt;299,"High HP",I151&gt;99,"Medium HP",I151&lt;100,"Low HP")</f>
        <v>Medium HP</v>
      </c>
      <c r="K151" s="32" t="s">
        <v>42</v>
      </c>
      <c r="L151" s="32" t="n">
        <v>25</v>
      </c>
      <c r="M151" s="32" t="n">
        <v>66.1130568</v>
      </c>
      <c r="N151" s="32" t="n">
        <v>15.8</v>
      </c>
      <c r="O151" s="32" t="n">
        <v>100.5</v>
      </c>
      <c r="P151" s="32" t="n">
        <v>67.6</v>
      </c>
      <c r="Q151" s="32" t="n">
        <v>176.6</v>
      </c>
      <c r="R151" s="32" t="n">
        <v>2.998</v>
      </c>
      <c r="S151" s="33" t="n">
        <v>40592</v>
      </c>
    </row>
    <row r="152" customFormat="false" ht="16.15" hidden="true" customHeight="false" outlineLevel="0" collapsed="false">
      <c r="A152" s="27" t="s">
        <v>203</v>
      </c>
      <c r="B152" s="28" t="s">
        <v>205</v>
      </c>
      <c r="C152" s="29" t="n">
        <v>3545</v>
      </c>
      <c r="D152" s="30" t="n">
        <v>24400</v>
      </c>
      <c r="E152" s="30" t="n">
        <v>15252</v>
      </c>
      <c r="F152" s="31" t="n">
        <f aca="false">SUM(E152/D152)</f>
        <v>0.625081967213115</v>
      </c>
      <c r="G152" s="31" t="str">
        <f aca="false">IF(F152&gt;69%, "GOOD", "POOR")</f>
        <v>POOR</v>
      </c>
      <c r="H152" s="32" t="n">
        <v>1.9</v>
      </c>
      <c r="I152" s="32" t="n">
        <v>160</v>
      </c>
      <c r="J152" s="32" t="str">
        <f aca="false" t="array" ref="J152:J152">_xlfn.IFS(I152&gt;299,"High HP",I152&gt;99,"Medium HP",I152&lt;100,"Low HP")</f>
        <v>Medium HP</v>
      </c>
      <c r="K152" s="32" t="s">
        <v>42</v>
      </c>
      <c r="L152" s="32" t="n">
        <v>25</v>
      </c>
      <c r="M152" s="32" t="n">
        <v>66.4988123</v>
      </c>
      <c r="N152" s="32" t="n">
        <v>15.8</v>
      </c>
      <c r="O152" s="32" t="n">
        <v>100.5</v>
      </c>
      <c r="P152" s="32" t="n">
        <v>67.6</v>
      </c>
      <c r="Q152" s="32" t="n">
        <v>176.6</v>
      </c>
      <c r="R152" s="32" t="n">
        <v>3.042</v>
      </c>
      <c r="S152" s="33" t="n">
        <v>40807</v>
      </c>
    </row>
    <row r="153" customFormat="false" ht="16.15" hidden="true" customHeight="false" outlineLevel="0" collapsed="false">
      <c r="A153" s="27" t="s">
        <v>203</v>
      </c>
      <c r="B153" s="28" t="s">
        <v>206</v>
      </c>
      <c r="C153" s="29" t="n">
        <v>15245</v>
      </c>
      <c r="D153" s="30" t="n">
        <v>27500</v>
      </c>
      <c r="E153" s="30" t="n">
        <v>18900</v>
      </c>
      <c r="F153" s="31" t="n">
        <f aca="false">SUM(E153/D153)</f>
        <v>0.687272727272727</v>
      </c>
      <c r="G153" s="31" t="str">
        <f aca="false">IF(F153&gt;69%, "GOOD", "POOR")</f>
        <v>POOR</v>
      </c>
      <c r="H153" s="32" t="n">
        <v>2.4</v>
      </c>
      <c r="I153" s="32" t="n">
        <v>168</v>
      </c>
      <c r="J153" s="32" t="str">
        <f aca="false" t="array" ref="J153:J153">_xlfn.IFS(I153&gt;299,"High HP",I153&gt;99,"Medium HP",I153&lt;100,"Low HP")</f>
        <v>Medium HP</v>
      </c>
      <c r="K153" s="32" t="s">
        <v>42</v>
      </c>
      <c r="L153" s="32" t="n">
        <v>25</v>
      </c>
      <c r="M153" s="32" t="n">
        <v>70.65449545</v>
      </c>
      <c r="N153" s="32" t="n">
        <v>17.9</v>
      </c>
      <c r="O153" s="32" t="n">
        <v>104.9</v>
      </c>
      <c r="P153" s="32" t="n">
        <v>69.3</v>
      </c>
      <c r="Q153" s="32" t="n">
        <v>185.9</v>
      </c>
      <c r="R153" s="32" t="n">
        <v>3.208</v>
      </c>
      <c r="S153" s="33" t="n">
        <v>41237</v>
      </c>
    </row>
    <row r="154" customFormat="false" ht="16.15" hidden="true" customHeight="false" outlineLevel="0" collapsed="false">
      <c r="A154" s="27" t="s">
        <v>203</v>
      </c>
      <c r="B154" s="28" t="s">
        <v>207</v>
      </c>
      <c r="C154" s="29" t="n">
        <v>17531</v>
      </c>
      <c r="D154" s="30" t="n">
        <v>28800</v>
      </c>
      <c r="E154" s="30" t="n">
        <v>20223</v>
      </c>
      <c r="F154" s="31" t="n">
        <f aca="false">SUM(E154/D154)</f>
        <v>0.7021875</v>
      </c>
      <c r="G154" s="31" t="str">
        <f aca="false">IF(F154&gt;69%, "GOOD", "POOR")</f>
        <v>GOOD</v>
      </c>
      <c r="H154" s="32" t="n">
        <v>2.4</v>
      </c>
      <c r="I154" s="32" t="n">
        <v>168</v>
      </c>
      <c r="J154" s="32" t="str">
        <f aca="false" t="array" ref="J154:J154">_xlfn.IFS(I154&gt;299,"High HP",I154&gt;99,"Medium HP",I154&lt;100,"Low HP")</f>
        <v>Medium HP</v>
      </c>
      <c r="K154" s="32" t="s">
        <v>42</v>
      </c>
      <c r="L154" s="32" t="n">
        <v>25</v>
      </c>
      <c r="M154" s="32" t="n">
        <v>71.1559776</v>
      </c>
      <c r="N154" s="32" t="n">
        <v>17.9</v>
      </c>
      <c r="O154" s="32" t="n">
        <v>104.9</v>
      </c>
      <c r="P154" s="32" t="n">
        <v>69.3</v>
      </c>
      <c r="Q154" s="32" t="n">
        <v>186.2</v>
      </c>
      <c r="R154" s="32" t="n">
        <v>3.259</v>
      </c>
      <c r="S154" s="33" t="n">
        <v>40719</v>
      </c>
    </row>
    <row r="155" customFormat="false" ht="16.15" hidden="true" customHeight="false" outlineLevel="0" collapsed="false">
      <c r="A155" s="27" t="s">
        <v>203</v>
      </c>
      <c r="B155" s="28" t="s">
        <v>208</v>
      </c>
      <c r="C155" s="29" t="n">
        <v>3493</v>
      </c>
      <c r="D155" s="30" t="n">
        <v>45500</v>
      </c>
      <c r="E155" s="30" t="n">
        <v>34175</v>
      </c>
      <c r="F155" s="31" t="n">
        <f aca="false">SUM(E155/D155)</f>
        <v>0.751098901098901</v>
      </c>
      <c r="G155" s="31" t="str">
        <f aca="false">IF(F155&gt;69%, "GOOD", "POOR")</f>
        <v>GOOD</v>
      </c>
      <c r="H155" s="32" t="n">
        <v>2.3</v>
      </c>
      <c r="I155" s="32" t="n">
        <v>236</v>
      </c>
      <c r="J155" s="32" t="str">
        <f aca="false" t="array" ref="J155:J155">_xlfn.IFS(I155&gt;299,"High HP",I155&gt;99,"Medium HP",I155&lt;100,"Low HP")</f>
        <v>Medium HP</v>
      </c>
      <c r="K155" s="32" t="s">
        <v>42</v>
      </c>
      <c r="L155" s="32" t="n">
        <v>23</v>
      </c>
      <c r="M155" s="32" t="n">
        <v>101.6233572</v>
      </c>
      <c r="N155" s="32" t="n">
        <v>18.5</v>
      </c>
      <c r="O155" s="32" t="n">
        <v>104.9</v>
      </c>
      <c r="P155" s="32" t="n">
        <v>71.5</v>
      </c>
      <c r="Q155" s="32" t="n">
        <v>185.7</v>
      </c>
      <c r="R155" s="32" t="n">
        <v>3.601</v>
      </c>
      <c r="S155" s="33" t="n">
        <v>40659</v>
      </c>
    </row>
    <row r="156" customFormat="false" ht="16.15" hidden="true" customHeight="false" outlineLevel="0" collapsed="false">
      <c r="A156" s="27" t="s">
        <v>203</v>
      </c>
      <c r="B156" s="28" t="s">
        <v>209</v>
      </c>
      <c r="C156" s="29" t="n">
        <v>18969</v>
      </c>
      <c r="D156" s="30" t="n">
        <v>36000</v>
      </c>
      <c r="E156" s="30" t="n">
        <v>26403</v>
      </c>
      <c r="F156" s="31" t="n">
        <f aca="false">SUM(E156/D156)</f>
        <v>0.733416666666667</v>
      </c>
      <c r="G156" s="31" t="str">
        <f aca="false">IF(F156&gt;69%, "GOOD", "POOR")</f>
        <v>GOOD</v>
      </c>
      <c r="H156" s="32" t="n">
        <v>2.9</v>
      </c>
      <c r="I156" s="32" t="n">
        <v>201</v>
      </c>
      <c r="J156" s="32" t="str">
        <f aca="false" t="array" ref="J156:J156">_xlfn.IFS(I156&gt;299,"High HP",I156&gt;99,"Medium HP",I156&lt;100,"Low HP")</f>
        <v>Medium HP</v>
      </c>
      <c r="K156" s="32" t="s">
        <v>42</v>
      </c>
      <c r="L156" s="32" t="n">
        <v>24</v>
      </c>
      <c r="M156" s="32" t="n">
        <v>85.73565451</v>
      </c>
      <c r="N156" s="32" t="n">
        <v>21.1</v>
      </c>
      <c r="O156" s="32" t="n">
        <v>109.9</v>
      </c>
      <c r="P156" s="32" t="n">
        <v>72.1</v>
      </c>
      <c r="Q156" s="32" t="n">
        <v>189.8</v>
      </c>
      <c r="R156" s="32" t="n">
        <v>3.6</v>
      </c>
      <c r="S156" s="33" t="n">
        <v>40861</v>
      </c>
    </row>
  </sheetData>
  <conditionalFormatting sqref="G2:G156">
    <cfRule type="containsText" priority="2" operator="containsText" aboveAverage="0" equalAverage="0" bottom="0" percent="0" rank="0" text="POOR" dxfId="9">
      <formula>NOT(ISERROR(SEARCH("POOR",G2)))</formula>
    </cfRule>
  </conditionalFormatting>
  <conditionalFormatting sqref="G2:G156">
    <cfRule type="containsText" priority="3" operator="containsText" aboveAverage="0" equalAverage="0" bottom="0" percent="0" rank="0" text="GOOD" dxfId="10">
      <formula>NOT(ISERROR(SEARCH("GOOD",G2)))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6" activeCellId="0" sqref="J166"/>
    </sheetView>
  </sheetViews>
  <sheetFormatPr defaultColWidth="9.16796875" defaultRowHeight="15" customHeight="true" zeroHeight="false" outlineLevelRow="0" outlineLevelCol="0"/>
  <cols>
    <col collapsed="false" customWidth="true" hidden="false" outlineLevel="0" max="1" min="1" style="0" width="15.33"/>
    <col collapsed="false" customWidth="true" hidden="false" outlineLevel="0" max="2" min="2" style="0" width="15.5"/>
    <col collapsed="false" customWidth="true" hidden="false" outlineLevel="0" max="3" min="3" style="0" width="17.83"/>
    <col collapsed="false" customWidth="true" hidden="false" outlineLevel="0" max="4" min="4" style="0" width="20.5"/>
    <col collapsed="false" customWidth="true" hidden="false" outlineLevel="0" max="5" min="5" style="23" width="12.67"/>
    <col collapsed="false" customWidth="true" hidden="false" outlineLevel="0" max="6" min="6" style="0" width="19.5"/>
    <col collapsed="false" customWidth="true" hidden="false" outlineLevel="0" max="7" min="7" style="0" width="14"/>
    <col collapsed="false" customWidth="true" hidden="false" outlineLevel="0" max="8" min="8" style="0" width="17.5"/>
    <col collapsed="false" customWidth="true" hidden="false" outlineLevel="0" max="9" min="9" style="0" width="13.17"/>
    <col collapsed="false" customWidth="true" hidden="false" outlineLevel="0" max="10" min="10" style="0" width="14"/>
    <col collapsed="false" customWidth="true" hidden="false" outlineLevel="0" max="11" min="11" style="0" width="11.83"/>
    <col collapsed="false" customWidth="true" hidden="false" outlineLevel="0" max="12" min="12" style="0" width="14.83"/>
    <col collapsed="false" customWidth="true" hidden="false" outlineLevel="0" max="13" min="13" style="0" width="14.67"/>
    <col collapsed="false" customWidth="true" hidden="true" outlineLevel="0" max="14" min="14" style="0" width="11"/>
    <col collapsed="false" customWidth="true" hidden="true" outlineLevel="0" max="15" min="15" style="0" width="6.5"/>
    <col collapsed="false" customWidth="true" hidden="true" outlineLevel="0" max="16" min="16" style="0" width="7"/>
    <col collapsed="false" customWidth="true" hidden="true" outlineLevel="0" max="17" min="17" style="0" width="12.33"/>
    <col collapsed="false" customWidth="true" hidden="true" outlineLevel="0" max="18" min="18" style="0" width="13.17"/>
    <col collapsed="false" customWidth="true" hidden="true" outlineLevel="0" max="19" min="19" style="0" width="13.5"/>
    <col collapsed="false" customWidth="true" hidden="false" outlineLevel="0" max="23" min="23" style="0" width="11.33"/>
    <col collapsed="false" customWidth="true" hidden="false" outlineLevel="0" max="24" min="24" style="0" width="7.5"/>
    <col collapsed="false" customWidth="true" hidden="false" outlineLevel="0" max="25" min="25" style="0" width="11.5"/>
    <col collapsed="false" customWidth="true" hidden="false" outlineLevel="0" max="26" min="26" style="0" width="7.83"/>
    <col collapsed="false" customWidth="true" hidden="false" outlineLevel="0" max="27" min="27" style="0" width="16.5"/>
  </cols>
  <sheetData>
    <row r="1" s="26" customFormat="true" ht="15" hidden="false" customHeight="false" outlineLevel="0" collapsed="false">
      <c r="A1" s="24" t="s">
        <v>22</v>
      </c>
      <c r="B1" s="24" t="s">
        <v>23</v>
      </c>
      <c r="C1" s="24" t="s">
        <v>34</v>
      </c>
      <c r="D1" s="24" t="s">
        <v>24</v>
      </c>
      <c r="E1" s="25" t="s">
        <v>25</v>
      </c>
      <c r="F1" s="24" t="s">
        <v>26</v>
      </c>
      <c r="G1" s="24" t="s">
        <v>27</v>
      </c>
      <c r="H1" s="24" t="s">
        <v>28</v>
      </c>
      <c r="I1" s="24" t="s">
        <v>29</v>
      </c>
      <c r="J1" s="24" t="s">
        <v>30</v>
      </c>
      <c r="K1" s="24" t="s">
        <v>31</v>
      </c>
      <c r="L1" s="24" t="s">
        <v>32</v>
      </c>
      <c r="M1" s="24" t="s">
        <v>33</v>
      </c>
      <c r="N1" s="24" t="s">
        <v>36</v>
      </c>
      <c r="O1" s="24" t="s">
        <v>37</v>
      </c>
      <c r="P1" s="24" t="s">
        <v>38</v>
      </c>
      <c r="Q1" s="24" t="s">
        <v>39</v>
      </c>
      <c r="R1" s="24" t="s">
        <v>35</v>
      </c>
      <c r="S1" s="24" t="s">
        <v>40</v>
      </c>
    </row>
    <row r="2" customFormat="false" ht="16.15" hidden="true" customHeight="false" outlineLevel="0" collapsed="false">
      <c r="A2" s="27" t="s">
        <v>2</v>
      </c>
      <c r="B2" s="28" t="s">
        <v>41</v>
      </c>
      <c r="C2" s="32" t="n">
        <v>58.28014952</v>
      </c>
      <c r="D2" s="29" t="n">
        <v>16919</v>
      </c>
      <c r="E2" s="30" t="n">
        <v>21500</v>
      </c>
      <c r="F2" s="30" t="n">
        <v>16360</v>
      </c>
      <c r="G2" s="31" t="n">
        <f aca="false">SUM(F2/E2)</f>
        <v>0.76093023255814</v>
      </c>
      <c r="H2" s="31" t="str">
        <f aca="false">IF(G2&gt;69%, "GOOD", "POOR")</f>
        <v>GOOD</v>
      </c>
      <c r="I2" s="32" t="n">
        <v>1.8</v>
      </c>
      <c r="J2" s="32" t="n">
        <v>140</v>
      </c>
      <c r="K2" s="32" t="str">
        <f aca="false" t="array" ref="K2:K2">_xlfn.IFS(J2&gt;299,"High HP",J2&gt;99,"Medium HP",J2&lt;100,"Low HP")</f>
        <v>Medium HP</v>
      </c>
      <c r="L2" s="32" t="s">
        <v>42</v>
      </c>
      <c r="M2" s="32" t="n">
        <v>28</v>
      </c>
      <c r="N2" s="32" t="n">
        <v>101.2</v>
      </c>
      <c r="O2" s="32" t="n">
        <v>67.3</v>
      </c>
      <c r="P2" s="32" t="n">
        <v>172.4</v>
      </c>
      <c r="Q2" s="32" t="n">
        <v>2.639</v>
      </c>
      <c r="R2" s="32" t="n">
        <v>13.2</v>
      </c>
      <c r="S2" s="33" t="n">
        <v>40941</v>
      </c>
    </row>
    <row r="3" customFormat="false" ht="16.15" hidden="true" customHeight="false" outlineLevel="0" collapsed="false">
      <c r="A3" s="27" t="s">
        <v>2</v>
      </c>
      <c r="B3" s="28" t="s">
        <v>43</v>
      </c>
      <c r="C3" s="32" t="n">
        <v>91.37077766</v>
      </c>
      <c r="D3" s="29" t="n">
        <v>39384</v>
      </c>
      <c r="E3" s="30" t="n">
        <v>28400</v>
      </c>
      <c r="F3" s="30" t="n">
        <v>19875</v>
      </c>
      <c r="G3" s="31" t="n">
        <f aca="false">SUM(F3/E3)</f>
        <v>0.699823943661972</v>
      </c>
      <c r="H3" s="31" t="str">
        <f aca="false">IF(G3&gt;69%, "GOOD", "POOR")</f>
        <v>GOOD</v>
      </c>
      <c r="I3" s="32" t="n">
        <v>3.2</v>
      </c>
      <c r="J3" s="32" t="n">
        <v>225</v>
      </c>
      <c r="K3" s="32" t="str">
        <f aca="false" t="array" ref="K3:K3">_xlfn.IFS(J3&gt;299,"High HP",J3&gt;99,"Medium HP",J3&lt;100,"Low HP")</f>
        <v>Medium HP</v>
      </c>
      <c r="L3" s="32" t="s">
        <v>42</v>
      </c>
      <c r="M3" s="32" t="n">
        <v>25</v>
      </c>
      <c r="N3" s="32" t="n">
        <v>108.1</v>
      </c>
      <c r="O3" s="32" t="n">
        <v>70.3</v>
      </c>
      <c r="P3" s="32" t="n">
        <v>192.9</v>
      </c>
      <c r="Q3" s="32" t="n">
        <v>3.517</v>
      </c>
      <c r="R3" s="32" t="n">
        <v>17.2</v>
      </c>
      <c r="S3" s="33" t="n">
        <v>40697</v>
      </c>
    </row>
    <row r="4" customFormat="false" ht="16.15" hidden="true" customHeight="false" outlineLevel="0" collapsed="false">
      <c r="A4" s="27" t="s">
        <v>2</v>
      </c>
      <c r="B4" s="28" t="s">
        <v>44</v>
      </c>
      <c r="C4" s="32" t="n">
        <v>91.38977933</v>
      </c>
      <c r="D4" s="29" t="n">
        <v>8588</v>
      </c>
      <c r="E4" s="30" t="n">
        <v>42000</v>
      </c>
      <c r="F4" s="30" t="n">
        <v>29725</v>
      </c>
      <c r="G4" s="31" t="n">
        <f aca="false">SUM(F4/E4)</f>
        <v>0.707738095238095</v>
      </c>
      <c r="H4" s="31" t="str">
        <f aca="false">IF(G4&gt;69%, "GOOD", "POOR")</f>
        <v>GOOD</v>
      </c>
      <c r="I4" s="32" t="n">
        <v>3.5</v>
      </c>
      <c r="J4" s="32" t="n">
        <v>210</v>
      </c>
      <c r="K4" s="32" t="str">
        <f aca="false" t="array" ref="K4:K4">_xlfn.IFS(J4&gt;299,"High HP",J4&gt;99,"Medium HP",J4&lt;100,"Low HP")</f>
        <v>Medium HP</v>
      </c>
      <c r="L4" s="32" t="s">
        <v>42</v>
      </c>
      <c r="M4" s="32" t="n">
        <v>22</v>
      </c>
      <c r="N4" s="32" t="n">
        <v>114.6</v>
      </c>
      <c r="O4" s="32" t="n">
        <v>71.4</v>
      </c>
      <c r="P4" s="32" t="n">
        <v>196.6</v>
      </c>
      <c r="Q4" s="32" t="n">
        <v>3.85</v>
      </c>
      <c r="R4" s="32" t="n">
        <v>18</v>
      </c>
      <c r="S4" s="33" t="n">
        <v>40612</v>
      </c>
    </row>
    <row r="5" customFormat="false" ht="16.15" hidden="true" customHeight="false" outlineLevel="0" collapsed="false">
      <c r="A5" s="27" t="s">
        <v>45</v>
      </c>
      <c r="B5" s="28" t="s">
        <v>46</v>
      </c>
      <c r="C5" s="32" t="n">
        <v>62.7776392</v>
      </c>
      <c r="D5" s="29" t="n">
        <v>20397</v>
      </c>
      <c r="E5" s="30" t="n">
        <v>23990</v>
      </c>
      <c r="F5" s="30" t="n">
        <v>22255</v>
      </c>
      <c r="G5" s="31" t="n">
        <f aca="false">SUM(F5/E5)</f>
        <v>0.927678199249687</v>
      </c>
      <c r="H5" s="31" t="str">
        <f aca="false">IF(G5&gt;69%, "GOOD", "POOR")</f>
        <v>GOOD</v>
      </c>
      <c r="I5" s="32" t="n">
        <v>1.8</v>
      </c>
      <c r="J5" s="32" t="n">
        <v>150</v>
      </c>
      <c r="K5" s="32" t="str">
        <f aca="false" t="array" ref="K5:K5">_xlfn.IFS(J5&gt;299,"High HP",J5&gt;99,"Medium HP",J5&lt;100,"Low HP")</f>
        <v>Medium HP</v>
      </c>
      <c r="L5" s="32" t="s">
        <v>42</v>
      </c>
      <c r="M5" s="32" t="n">
        <v>27</v>
      </c>
      <c r="N5" s="32" t="n">
        <v>102.6</v>
      </c>
      <c r="O5" s="32" t="n">
        <v>68.2</v>
      </c>
      <c r="P5" s="32" t="n">
        <v>178</v>
      </c>
      <c r="Q5" s="32" t="n">
        <v>2.998</v>
      </c>
      <c r="R5" s="32" t="n">
        <v>16.4</v>
      </c>
      <c r="S5" s="33" t="n">
        <v>40824</v>
      </c>
      <c r="U5" s="26"/>
      <c r="W5" s="34"/>
    </row>
    <row r="6" customFormat="false" ht="16.15" hidden="true" customHeight="false" outlineLevel="0" collapsed="false">
      <c r="A6" s="27" t="s">
        <v>45</v>
      </c>
      <c r="B6" s="28" t="s">
        <v>47</v>
      </c>
      <c r="C6" s="32" t="n">
        <v>84.56510502</v>
      </c>
      <c r="D6" s="29" t="n">
        <v>18780</v>
      </c>
      <c r="E6" s="30" t="n">
        <v>33950</v>
      </c>
      <c r="F6" s="30" t="n">
        <v>23555</v>
      </c>
      <c r="G6" s="31" t="n">
        <f aca="false">SUM(F6/E6)</f>
        <v>0.693814432989691</v>
      </c>
      <c r="H6" s="31" t="str">
        <f aca="false">IF(G6&gt;69%, "GOOD", "POOR")</f>
        <v>GOOD</v>
      </c>
      <c r="I6" s="32" t="n">
        <v>2.8</v>
      </c>
      <c r="J6" s="32" t="n">
        <v>200</v>
      </c>
      <c r="K6" s="32" t="str">
        <f aca="false" t="array" ref="K6:K6">_xlfn.IFS(J6&gt;299,"High HP",J6&gt;99,"Medium HP",J6&lt;100,"Low HP")</f>
        <v>Medium HP</v>
      </c>
      <c r="L6" s="32" t="s">
        <v>42</v>
      </c>
      <c r="M6" s="32" t="n">
        <v>22</v>
      </c>
      <c r="N6" s="32" t="n">
        <v>108.7</v>
      </c>
      <c r="O6" s="32" t="n">
        <v>76.1</v>
      </c>
      <c r="P6" s="32" t="n">
        <v>192</v>
      </c>
      <c r="Q6" s="32" t="n">
        <v>3.561</v>
      </c>
      <c r="R6" s="32" t="n">
        <v>18.5</v>
      </c>
      <c r="S6" s="33" t="n">
        <v>40764</v>
      </c>
      <c r="W6" s="34"/>
    </row>
    <row r="7" customFormat="false" ht="16.15" hidden="true" customHeight="false" outlineLevel="0" collapsed="false">
      <c r="A7" s="27" t="s">
        <v>45</v>
      </c>
      <c r="B7" s="28" t="s">
        <v>48</v>
      </c>
      <c r="C7" s="32" t="n">
        <v>134.6568582</v>
      </c>
      <c r="D7" s="29" t="n">
        <v>1380</v>
      </c>
      <c r="E7" s="30" t="n">
        <v>62000</v>
      </c>
      <c r="F7" s="30" t="n">
        <v>39000</v>
      </c>
      <c r="G7" s="31" t="n">
        <f aca="false">SUM(F7/E7)</f>
        <v>0.629032258064516</v>
      </c>
      <c r="H7" s="31" t="str">
        <f aca="false">IF(G7&gt;69%, "GOOD", "POOR")</f>
        <v>POOR</v>
      </c>
      <c r="I7" s="32" t="n">
        <v>4.2</v>
      </c>
      <c r="J7" s="32" t="n">
        <v>310</v>
      </c>
      <c r="K7" s="32" t="str">
        <f aca="false" t="array" ref="K7:K7">_xlfn.IFS(J7&gt;299,"High HP",J7&gt;99,"Medium HP",J7&lt;100,"Low HP")</f>
        <v>High HP</v>
      </c>
      <c r="L7" s="32" t="s">
        <v>42</v>
      </c>
      <c r="M7" s="32" t="n">
        <v>21</v>
      </c>
      <c r="N7" s="32" t="n">
        <v>113</v>
      </c>
      <c r="O7" s="32" t="n">
        <v>74</v>
      </c>
      <c r="P7" s="32" t="n">
        <v>198.2</v>
      </c>
      <c r="Q7" s="32" t="n">
        <v>3.902</v>
      </c>
      <c r="R7" s="32" t="n">
        <v>23.7</v>
      </c>
      <c r="S7" s="33" t="n">
        <v>40966</v>
      </c>
      <c r="W7" s="34"/>
    </row>
    <row r="8" customFormat="false" ht="16.15" hidden="true" customHeight="false" outlineLevel="0" collapsed="false">
      <c r="A8" s="27" t="s">
        <v>49</v>
      </c>
      <c r="B8" s="28" t="s">
        <v>50</v>
      </c>
      <c r="C8" s="32" t="n">
        <v>71.19120671</v>
      </c>
      <c r="D8" s="29" t="n">
        <v>19747</v>
      </c>
      <c r="E8" s="30" t="n">
        <v>26990</v>
      </c>
      <c r="F8" s="30" t="n">
        <v>24500</v>
      </c>
      <c r="G8" s="31" t="n">
        <f aca="false">SUM(F8/E8)</f>
        <v>0.907743608743979</v>
      </c>
      <c r="H8" s="31" t="str">
        <f aca="false">IF(G8&gt;69%, "GOOD", "POOR")</f>
        <v>GOOD</v>
      </c>
      <c r="I8" s="32" t="n">
        <v>2.5</v>
      </c>
      <c r="J8" s="32" t="n">
        <v>170</v>
      </c>
      <c r="K8" s="32" t="str">
        <f aca="false" t="array" ref="K8:K8">_xlfn.IFS(J8&gt;299,"High HP",J8&gt;99,"Medium HP",J8&lt;100,"Low HP")</f>
        <v>Medium HP</v>
      </c>
      <c r="L8" s="32" t="s">
        <v>42</v>
      </c>
      <c r="M8" s="32" t="n">
        <v>26</v>
      </c>
      <c r="N8" s="32" t="n">
        <v>107.3</v>
      </c>
      <c r="O8" s="32" t="n">
        <v>68.4</v>
      </c>
      <c r="P8" s="32" t="n">
        <v>176</v>
      </c>
      <c r="Q8" s="32" t="n">
        <v>3.179</v>
      </c>
      <c r="R8" s="32" t="n">
        <v>16.6</v>
      </c>
      <c r="S8" s="33" t="n">
        <v>40722</v>
      </c>
      <c r="W8" s="34"/>
    </row>
    <row r="9" customFormat="false" ht="16.15" hidden="true" customHeight="false" outlineLevel="0" collapsed="false">
      <c r="A9" s="27" t="s">
        <v>49</v>
      </c>
      <c r="B9" s="28" t="s">
        <v>51</v>
      </c>
      <c r="C9" s="32" t="n">
        <v>81.87706856</v>
      </c>
      <c r="D9" s="29" t="n">
        <v>9231</v>
      </c>
      <c r="E9" s="30" t="n">
        <v>33400</v>
      </c>
      <c r="F9" s="30" t="n">
        <v>28675</v>
      </c>
      <c r="G9" s="31" t="n">
        <f aca="false">SUM(F9/E9)</f>
        <v>0.858532934131737</v>
      </c>
      <c r="H9" s="31" t="str">
        <f aca="false">IF(G9&gt;69%, "GOOD", "POOR")</f>
        <v>GOOD</v>
      </c>
      <c r="I9" s="32" t="n">
        <v>2.8</v>
      </c>
      <c r="J9" s="32" t="n">
        <v>193</v>
      </c>
      <c r="K9" s="32" t="str">
        <f aca="false" t="array" ref="K9:K9">_xlfn.IFS(J9&gt;299,"High HP",J9&gt;99,"Medium HP",J9&lt;100,"Low HP")</f>
        <v>Medium HP</v>
      </c>
      <c r="L9" s="32" t="s">
        <v>42</v>
      </c>
      <c r="M9" s="32" t="n">
        <v>24</v>
      </c>
      <c r="N9" s="32" t="n">
        <v>107.3</v>
      </c>
      <c r="O9" s="32" t="n">
        <v>68.5</v>
      </c>
      <c r="P9" s="32" t="n">
        <v>176</v>
      </c>
      <c r="Q9" s="32" t="n">
        <v>3.197</v>
      </c>
      <c r="R9" s="32" t="n">
        <v>16.6</v>
      </c>
      <c r="S9" s="33" t="n">
        <v>40937</v>
      </c>
      <c r="W9" s="34"/>
    </row>
    <row r="10" customFormat="false" ht="16.15" hidden="true" customHeight="false" outlineLevel="0" collapsed="false">
      <c r="A10" s="27" t="s">
        <v>49</v>
      </c>
      <c r="B10" s="28" t="s">
        <v>52</v>
      </c>
      <c r="C10" s="32" t="n">
        <v>83.9987238</v>
      </c>
      <c r="D10" s="29" t="n">
        <v>17527</v>
      </c>
      <c r="E10" s="30" t="n">
        <v>38900</v>
      </c>
      <c r="F10" s="30" t="n">
        <v>36125</v>
      </c>
      <c r="G10" s="31" t="n">
        <f aca="false">SUM(F10/E10)</f>
        <v>0.92866323907455</v>
      </c>
      <c r="H10" s="31" t="str">
        <f aca="false">IF(G10&gt;69%, "GOOD", "POOR")</f>
        <v>GOOD</v>
      </c>
      <c r="I10" s="32" t="n">
        <v>2.8</v>
      </c>
      <c r="J10" s="32" t="n">
        <v>193</v>
      </c>
      <c r="K10" s="32" t="str">
        <f aca="false" t="array" ref="K10:K10">_xlfn.IFS(J10&gt;299,"High HP",J10&gt;99,"Medium HP",J10&lt;100,"Low HP")</f>
        <v>Medium HP</v>
      </c>
      <c r="L10" s="32" t="s">
        <v>42</v>
      </c>
      <c r="M10" s="32" t="n">
        <v>25</v>
      </c>
      <c r="N10" s="32" t="n">
        <v>111.4</v>
      </c>
      <c r="O10" s="32" t="n">
        <v>70.9</v>
      </c>
      <c r="P10" s="32" t="n">
        <v>188</v>
      </c>
      <c r="Q10" s="32" t="n">
        <v>3.472</v>
      </c>
      <c r="R10" s="32" t="n">
        <v>18.5</v>
      </c>
      <c r="S10" s="33" t="n">
        <v>40637</v>
      </c>
      <c r="W10" s="34"/>
    </row>
    <row r="11" customFormat="false" ht="16.15" hidden="true" customHeight="false" outlineLevel="0" collapsed="false">
      <c r="A11" s="27" t="s">
        <v>53</v>
      </c>
      <c r="B11" s="28" t="s">
        <v>54</v>
      </c>
      <c r="C11" s="32" t="n">
        <v>71.18145132</v>
      </c>
      <c r="D11" s="29" t="n">
        <v>91561</v>
      </c>
      <c r="E11" s="30" t="n">
        <v>21975</v>
      </c>
      <c r="F11" s="30" t="n">
        <v>12475</v>
      </c>
      <c r="G11" s="31" t="n">
        <f aca="false">SUM(F11/E11)</f>
        <v>0.56769055745165</v>
      </c>
      <c r="H11" s="31" t="str">
        <f aca="false">IF(G11&gt;69%, "GOOD", "POOR")</f>
        <v>POOR</v>
      </c>
      <c r="I11" s="32" t="n">
        <v>3.1</v>
      </c>
      <c r="J11" s="32" t="n">
        <v>175</v>
      </c>
      <c r="K11" s="32" t="str">
        <f aca="false" t="array" ref="K11:K11">_xlfn.IFS(J11&gt;299,"High HP",J11&gt;99,"Medium HP",J11&lt;100,"Low HP")</f>
        <v>Medium HP</v>
      </c>
      <c r="L11" s="32" t="s">
        <v>42</v>
      </c>
      <c r="M11" s="32" t="n">
        <v>25</v>
      </c>
      <c r="N11" s="32" t="n">
        <v>109</v>
      </c>
      <c r="O11" s="32" t="n">
        <v>72.7</v>
      </c>
      <c r="P11" s="32" t="n">
        <v>194.6</v>
      </c>
      <c r="Q11" s="32" t="n">
        <v>3.368</v>
      </c>
      <c r="R11" s="32" t="n">
        <v>17.5</v>
      </c>
      <c r="S11" s="33" t="n">
        <v>40849</v>
      </c>
      <c r="W11" s="34"/>
    </row>
    <row r="12" customFormat="false" ht="16.15" hidden="true" customHeight="false" outlineLevel="0" collapsed="false">
      <c r="A12" s="27" t="s">
        <v>53</v>
      </c>
      <c r="B12" s="28" t="s">
        <v>55</v>
      </c>
      <c r="C12" s="32" t="n">
        <v>95.63670253</v>
      </c>
      <c r="D12" s="29" t="n">
        <v>39350</v>
      </c>
      <c r="E12" s="30" t="n">
        <v>25300</v>
      </c>
      <c r="F12" s="30" t="n">
        <v>13740</v>
      </c>
      <c r="G12" s="31" t="n">
        <f aca="false">SUM(F12/E12)</f>
        <v>0.543083003952569</v>
      </c>
      <c r="H12" s="31" t="str">
        <f aca="false">IF(G12&gt;69%, "GOOD", "POOR")</f>
        <v>POOR</v>
      </c>
      <c r="I12" s="32" t="n">
        <v>3.8</v>
      </c>
      <c r="J12" s="32" t="n">
        <v>240</v>
      </c>
      <c r="K12" s="32" t="str">
        <f aca="false" t="array" ref="K12:K12">_xlfn.IFS(J12&gt;299,"High HP",J12&gt;99,"Medium HP",J12&lt;100,"Low HP")</f>
        <v>Medium HP</v>
      </c>
      <c r="L12" s="32" t="s">
        <v>42</v>
      </c>
      <c r="M12" s="32" t="n">
        <v>23</v>
      </c>
      <c r="N12" s="32" t="n">
        <v>109</v>
      </c>
      <c r="O12" s="32" t="n">
        <v>72.7</v>
      </c>
      <c r="P12" s="32" t="n">
        <v>196.2</v>
      </c>
      <c r="Q12" s="32" t="n">
        <v>3.543</v>
      </c>
      <c r="R12" s="32" t="n">
        <v>17.5</v>
      </c>
      <c r="S12" s="33" t="n">
        <v>40789</v>
      </c>
      <c r="W12" s="34"/>
    </row>
    <row r="13" customFormat="false" ht="16.15" hidden="true" customHeight="false" outlineLevel="0" collapsed="false">
      <c r="A13" s="27" t="s">
        <v>53</v>
      </c>
      <c r="B13" s="28" t="s">
        <v>56</v>
      </c>
      <c r="C13" s="32" t="n">
        <v>85.82840825</v>
      </c>
      <c r="D13" s="29" t="n">
        <v>27851</v>
      </c>
      <c r="E13" s="30" t="n">
        <v>31965</v>
      </c>
      <c r="F13" s="30" t="n">
        <v>20190</v>
      </c>
      <c r="G13" s="31" t="n">
        <f aca="false">SUM(F13/E13)</f>
        <v>0.631628343500704</v>
      </c>
      <c r="H13" s="31" t="str">
        <f aca="false">IF(G13&gt;69%, "GOOD", "POOR")</f>
        <v>POOR</v>
      </c>
      <c r="I13" s="32" t="n">
        <v>3.8</v>
      </c>
      <c r="J13" s="32" t="n">
        <v>205</v>
      </c>
      <c r="K13" s="32" t="str">
        <f aca="false" t="array" ref="K13:K13">_xlfn.IFS(J13&gt;299,"High HP",J13&gt;99,"Medium HP",J13&lt;100,"Low HP")</f>
        <v>Medium HP</v>
      </c>
      <c r="L13" s="32" t="s">
        <v>42</v>
      </c>
      <c r="M13" s="32" t="n">
        <v>24</v>
      </c>
      <c r="N13" s="32" t="n">
        <v>113.8</v>
      </c>
      <c r="O13" s="32" t="n">
        <v>74.7</v>
      </c>
      <c r="P13" s="32" t="n">
        <v>206.8</v>
      </c>
      <c r="Q13" s="32" t="n">
        <v>3.778</v>
      </c>
      <c r="R13" s="32" t="n">
        <v>18.5</v>
      </c>
      <c r="S13" s="33" t="n">
        <v>40991</v>
      </c>
      <c r="W13" s="34"/>
    </row>
    <row r="14" customFormat="false" ht="16.15" hidden="true" customHeight="false" outlineLevel="0" collapsed="false">
      <c r="A14" s="27" t="s">
        <v>53</v>
      </c>
      <c r="B14" s="28" t="s">
        <v>57</v>
      </c>
      <c r="C14" s="32" t="n">
        <v>84.25452581</v>
      </c>
      <c r="D14" s="29" t="n">
        <v>83257</v>
      </c>
      <c r="E14" s="30" t="n">
        <v>27885</v>
      </c>
      <c r="F14" s="30" t="n">
        <v>13360</v>
      </c>
      <c r="G14" s="31" t="n">
        <f aca="false">SUM(F14/E14)</f>
        <v>0.479110632956787</v>
      </c>
      <c r="H14" s="31" t="str">
        <f aca="false">IF(G14&gt;69%, "GOOD", "POOR")</f>
        <v>POOR</v>
      </c>
      <c r="I14" s="32" t="n">
        <v>3.8</v>
      </c>
      <c r="J14" s="32" t="n">
        <v>205</v>
      </c>
      <c r="K14" s="32" t="str">
        <f aca="false" t="array" ref="K14:K14">_xlfn.IFS(J14&gt;299,"High HP",J14&gt;99,"Medium HP",J14&lt;100,"Low HP")</f>
        <v>Medium HP</v>
      </c>
      <c r="L14" s="32" t="s">
        <v>42</v>
      </c>
      <c r="M14" s="32" t="n">
        <v>25</v>
      </c>
      <c r="N14" s="32" t="n">
        <v>112.2</v>
      </c>
      <c r="O14" s="32" t="n">
        <v>73.5</v>
      </c>
      <c r="P14" s="32" t="n">
        <v>200</v>
      </c>
      <c r="Q14" s="32" t="n">
        <v>3.591</v>
      </c>
      <c r="R14" s="32" t="n">
        <v>17.5</v>
      </c>
      <c r="S14" s="33" t="n">
        <v>40747</v>
      </c>
    </row>
    <row r="15" customFormat="false" ht="16.15" hidden="true" customHeight="false" outlineLevel="0" collapsed="false">
      <c r="A15" s="27" t="s">
        <v>58</v>
      </c>
      <c r="B15" s="28" t="s">
        <v>59</v>
      </c>
      <c r="C15" s="32" t="n">
        <v>113.8545976</v>
      </c>
      <c r="D15" s="29" t="n">
        <v>63729</v>
      </c>
      <c r="E15" s="30" t="n">
        <v>39895</v>
      </c>
      <c r="F15" s="30" t="n">
        <v>22525</v>
      </c>
      <c r="G15" s="31" t="n">
        <f aca="false">SUM(F15/E15)</f>
        <v>0.564607093620755</v>
      </c>
      <c r="H15" s="31" t="str">
        <f aca="false">IF(G15&gt;69%, "GOOD", "POOR")</f>
        <v>POOR</v>
      </c>
      <c r="I15" s="32" t="n">
        <v>4.6</v>
      </c>
      <c r="J15" s="32" t="n">
        <v>275</v>
      </c>
      <c r="K15" s="32" t="str">
        <f aca="false" t="array" ref="K15:K15">_xlfn.IFS(J15&gt;299,"High HP",J15&gt;99,"Medium HP",J15&lt;100,"Low HP")</f>
        <v>Medium HP</v>
      </c>
      <c r="L15" s="32" t="s">
        <v>42</v>
      </c>
      <c r="M15" s="32" t="n">
        <v>22</v>
      </c>
      <c r="N15" s="32" t="n">
        <v>115.3</v>
      </c>
      <c r="O15" s="32" t="n">
        <v>74.5</v>
      </c>
      <c r="P15" s="32" t="n">
        <v>207.2</v>
      </c>
      <c r="Q15" s="32" t="n">
        <v>3.978</v>
      </c>
      <c r="R15" s="32" t="n">
        <v>18.5</v>
      </c>
      <c r="S15" s="33" t="n">
        <v>40962</v>
      </c>
    </row>
    <row r="16" customFormat="false" ht="16.15" hidden="true" customHeight="false" outlineLevel="0" collapsed="false">
      <c r="A16" s="27" t="s">
        <v>58</v>
      </c>
      <c r="B16" s="28" t="s">
        <v>60</v>
      </c>
      <c r="C16" s="32" t="n">
        <v>115.6213578</v>
      </c>
      <c r="D16" s="29" t="n">
        <v>15943</v>
      </c>
      <c r="E16" s="30" t="n">
        <v>44475</v>
      </c>
      <c r="F16" s="30" t="n">
        <v>27100</v>
      </c>
      <c r="G16" s="31" t="n">
        <f aca="false">SUM(F16/E16)</f>
        <v>0.609331084879146</v>
      </c>
      <c r="H16" s="31" t="str">
        <f aca="false">IF(G16&gt;69%, "GOOD", "POOR")</f>
        <v>POOR</v>
      </c>
      <c r="I16" s="32" t="n">
        <v>4.6</v>
      </c>
      <c r="J16" s="32" t="n">
        <v>275</v>
      </c>
      <c r="K16" s="32" t="str">
        <f aca="false" t="array" ref="K16:K16">_xlfn.IFS(J16&gt;299,"High HP",J16&gt;99,"Medium HP",J16&lt;100,"Low HP")</f>
        <v>Medium HP</v>
      </c>
      <c r="L16" s="32" t="s">
        <v>42</v>
      </c>
      <c r="M16" s="32" t="n">
        <v>22</v>
      </c>
      <c r="N16" s="32" t="n">
        <v>112.2</v>
      </c>
      <c r="O16" s="32" t="n">
        <v>75</v>
      </c>
      <c r="P16" s="32" t="n">
        <v>201</v>
      </c>
      <c r="Q16" s="32" t="n">
        <v>3.875</v>
      </c>
      <c r="R16" s="32" t="n">
        <v>18.5</v>
      </c>
      <c r="S16" s="33" t="n">
        <v>40662</v>
      </c>
      <c r="V16" s="34"/>
    </row>
    <row r="17" customFormat="false" ht="16.15" hidden="true" customHeight="false" outlineLevel="0" collapsed="false">
      <c r="A17" s="27" t="s">
        <v>58</v>
      </c>
      <c r="B17" s="28" t="s">
        <v>61</v>
      </c>
      <c r="C17" s="32" t="n">
        <v>113.7658739</v>
      </c>
      <c r="D17" s="29" t="n">
        <v>6536</v>
      </c>
      <c r="E17" s="30" t="n">
        <v>39665</v>
      </c>
      <c r="F17" s="30" t="n">
        <v>25725</v>
      </c>
      <c r="G17" s="31" t="n">
        <f aca="false">SUM(F17/E17)</f>
        <v>0.648556662044624</v>
      </c>
      <c r="H17" s="31" t="str">
        <f aca="false">IF(G17&gt;69%, "GOOD", "POOR")</f>
        <v>POOR</v>
      </c>
      <c r="I17" s="32" t="n">
        <v>4.6</v>
      </c>
      <c r="J17" s="32" t="n">
        <v>275</v>
      </c>
      <c r="K17" s="32" t="str">
        <f aca="false" t="array" ref="K17:K17">_xlfn.IFS(J17&gt;299,"High HP",J17&gt;99,"Medium HP",J17&lt;100,"Low HP")</f>
        <v>Medium HP</v>
      </c>
      <c r="L17" s="32" t="s">
        <v>42</v>
      </c>
      <c r="M17" s="32" t="n">
        <v>22</v>
      </c>
      <c r="N17" s="32" t="n">
        <v>108</v>
      </c>
      <c r="O17" s="32" t="n">
        <v>75.5</v>
      </c>
      <c r="P17" s="32" t="n">
        <v>200.6</v>
      </c>
      <c r="Q17" s="32" t="n">
        <v>3.843</v>
      </c>
      <c r="R17" s="32" t="n">
        <v>19</v>
      </c>
      <c r="S17" s="33" t="n">
        <v>40874</v>
      </c>
    </row>
    <row r="18" customFormat="false" ht="16.15" hidden="true" customHeight="false" outlineLevel="0" collapsed="false">
      <c r="A18" s="27" t="s">
        <v>58</v>
      </c>
      <c r="B18" s="28" t="s">
        <v>62</v>
      </c>
      <c r="C18" s="32" t="n">
        <v>83.48309358</v>
      </c>
      <c r="D18" s="29" t="n">
        <v>11185</v>
      </c>
      <c r="E18" s="30" t="n">
        <v>31010</v>
      </c>
      <c r="F18" s="30" t="n">
        <v>18225</v>
      </c>
      <c r="G18" s="31" t="n">
        <f aca="false">SUM(F18/E18)</f>
        <v>0.587713640761045</v>
      </c>
      <c r="H18" s="31" t="str">
        <f aca="false">IF(G18&gt;69%, "GOOD", "POOR")</f>
        <v>POOR</v>
      </c>
      <c r="I18" s="32" t="n">
        <v>3</v>
      </c>
      <c r="J18" s="32" t="n">
        <v>200</v>
      </c>
      <c r="K18" s="32" t="str">
        <f aca="false" t="array" ref="K18:K18">_xlfn.IFS(J18&gt;299,"High HP",J18&gt;99,"Medium HP",J18&lt;100,"Low HP")</f>
        <v>Medium HP</v>
      </c>
      <c r="L18" s="32" t="s">
        <v>42</v>
      </c>
      <c r="M18" s="32" t="n">
        <v>22</v>
      </c>
      <c r="N18" s="32" t="n">
        <v>107.4</v>
      </c>
      <c r="O18" s="32" t="n">
        <v>70.3</v>
      </c>
      <c r="P18" s="32" t="n">
        <v>194.8</v>
      </c>
      <c r="Q18" s="32" t="n">
        <v>3.77</v>
      </c>
      <c r="R18" s="32" t="n">
        <v>18</v>
      </c>
      <c r="S18" s="33" t="n">
        <v>40814</v>
      </c>
    </row>
    <row r="19" customFormat="false" ht="16.15" hidden="true" customHeight="false" outlineLevel="0" collapsed="false">
      <c r="A19" s="27" t="s">
        <v>58</v>
      </c>
      <c r="B19" s="28" t="s">
        <v>63</v>
      </c>
      <c r="C19" s="32" t="n">
        <v>109.5091165</v>
      </c>
      <c r="D19" s="29" t="n">
        <v>14785</v>
      </c>
      <c r="E19" s="30" t="n">
        <v>46225</v>
      </c>
      <c r="F19" s="30" t="n">
        <v>31245</v>
      </c>
      <c r="G19" s="31" t="n">
        <f aca="false">SUM(F19/E19)</f>
        <v>0.675932936722553</v>
      </c>
      <c r="H19" s="31" t="str">
        <f aca="false">IF(G19&gt;69%, "GOOD", "POOR")</f>
        <v>POOR</v>
      </c>
      <c r="I19" s="32" t="n">
        <v>5.7</v>
      </c>
      <c r="J19" s="32" t="n">
        <v>255</v>
      </c>
      <c r="K19" s="32" t="str">
        <f aca="false" t="array" ref="K19:K19">_xlfn.IFS(J19&gt;299,"High HP",J19&gt;99,"Medium HP",J19&lt;100,"Low HP")</f>
        <v>Medium HP</v>
      </c>
      <c r="L19" s="32" t="s">
        <v>64</v>
      </c>
      <c r="M19" s="32" t="n">
        <v>15</v>
      </c>
      <c r="N19" s="32" t="n">
        <v>117.5</v>
      </c>
      <c r="O19" s="32" t="n">
        <v>77</v>
      </c>
      <c r="P19" s="32" t="n">
        <v>201.2</v>
      </c>
      <c r="Q19" s="32" t="n">
        <v>5.572</v>
      </c>
      <c r="R19" s="32" t="n">
        <v>30</v>
      </c>
      <c r="S19" s="33" t="n">
        <v>41016</v>
      </c>
    </row>
    <row r="20" customFormat="false" ht="16.15" hidden="true" customHeight="false" outlineLevel="0" collapsed="false">
      <c r="A20" s="27" t="s">
        <v>65</v>
      </c>
      <c r="B20" s="28" t="s">
        <v>66</v>
      </c>
      <c r="C20" s="32" t="n">
        <v>46.36334747</v>
      </c>
      <c r="D20" s="29" t="n">
        <v>145519</v>
      </c>
      <c r="E20" s="30" t="n">
        <v>13260</v>
      </c>
      <c r="F20" s="30" t="n">
        <v>9250</v>
      </c>
      <c r="G20" s="31" t="n">
        <f aca="false">SUM(F20/E20)</f>
        <v>0.697586726998492</v>
      </c>
      <c r="H20" s="31" t="str">
        <f aca="false">IF(G20&gt;69%, "GOOD", "POOR")</f>
        <v>GOOD</v>
      </c>
      <c r="I20" s="32" t="n">
        <v>2.2</v>
      </c>
      <c r="J20" s="32" t="n">
        <v>115</v>
      </c>
      <c r="K20" s="32" t="str">
        <f aca="false" t="array" ref="K20:K20">_xlfn.IFS(J20&gt;299,"High HP",J20&gt;99,"Medium HP",J20&lt;100,"Low HP")</f>
        <v>Medium HP</v>
      </c>
      <c r="L20" s="32" t="s">
        <v>42</v>
      </c>
      <c r="M20" s="32" t="n">
        <v>27</v>
      </c>
      <c r="N20" s="32" t="n">
        <v>104.1</v>
      </c>
      <c r="O20" s="32" t="n">
        <v>67.9</v>
      </c>
      <c r="P20" s="32" t="n">
        <v>180.9</v>
      </c>
      <c r="Q20" s="32" t="n">
        <v>2.676</v>
      </c>
      <c r="R20" s="32" t="n">
        <v>14.3</v>
      </c>
      <c r="S20" s="33" t="n">
        <v>40772</v>
      </c>
    </row>
    <row r="21" customFormat="false" ht="16.15" hidden="true" customHeight="false" outlineLevel="0" collapsed="false">
      <c r="A21" s="27" t="s">
        <v>65</v>
      </c>
      <c r="B21" s="28" t="s">
        <v>67</v>
      </c>
      <c r="C21" s="32" t="n">
        <v>67.31446216</v>
      </c>
      <c r="D21" s="29" t="n">
        <v>135126</v>
      </c>
      <c r="E21" s="30" t="n">
        <v>16535</v>
      </c>
      <c r="F21" s="30" t="n">
        <v>11225</v>
      </c>
      <c r="G21" s="31" t="n">
        <f aca="false">SUM(F21/E21)</f>
        <v>0.678863017840944</v>
      </c>
      <c r="H21" s="31" t="str">
        <f aca="false">IF(G21&gt;69%, "GOOD", "POOR")</f>
        <v>POOR</v>
      </c>
      <c r="I21" s="32" t="n">
        <v>3.1</v>
      </c>
      <c r="J21" s="32" t="n">
        <v>170</v>
      </c>
      <c r="K21" s="32" t="str">
        <f aca="false" t="array" ref="K21:K21">_xlfn.IFS(J21&gt;299,"High HP",J21&gt;99,"Medium HP",J21&lt;100,"Low HP")</f>
        <v>Medium HP</v>
      </c>
      <c r="L21" s="32" t="s">
        <v>42</v>
      </c>
      <c r="M21" s="32" t="n">
        <v>25</v>
      </c>
      <c r="N21" s="32" t="n">
        <v>107</v>
      </c>
      <c r="O21" s="32" t="n">
        <v>69.4</v>
      </c>
      <c r="P21" s="32" t="n">
        <v>190.4</v>
      </c>
      <c r="Q21" s="32" t="n">
        <v>3.051</v>
      </c>
      <c r="R21" s="32" t="n">
        <v>15</v>
      </c>
      <c r="S21" s="33" t="n">
        <v>40987</v>
      </c>
      <c r="V21" s="26"/>
      <c r="W21" s="26"/>
      <c r="X21" s="35"/>
      <c r="Y21" s="35"/>
      <c r="Z21" s="35"/>
    </row>
    <row r="22" customFormat="false" ht="16.15" hidden="true" customHeight="false" outlineLevel="0" collapsed="false">
      <c r="A22" s="27" t="s">
        <v>65</v>
      </c>
      <c r="B22" s="28" t="s">
        <v>68</v>
      </c>
      <c r="C22" s="32" t="n">
        <v>69.9913956</v>
      </c>
      <c r="D22" s="29" t="n">
        <v>24629</v>
      </c>
      <c r="E22" s="30" t="n">
        <v>18890</v>
      </c>
      <c r="F22" s="30" t="n">
        <v>10310</v>
      </c>
      <c r="G22" s="31" t="n">
        <f aca="false">SUM(F22/E22)</f>
        <v>0.54579142403388</v>
      </c>
      <c r="H22" s="31" t="str">
        <f aca="false">IF(G22&gt;69%, "GOOD", "POOR")</f>
        <v>POOR</v>
      </c>
      <c r="I22" s="32" t="n">
        <v>3.1</v>
      </c>
      <c r="J22" s="32" t="n">
        <v>175</v>
      </c>
      <c r="K22" s="32" t="str">
        <f aca="false" t="array" ref="K22:K22">_xlfn.IFS(J22&gt;299,"High HP",J22&gt;99,"Medium HP",J22&lt;100,"Low HP")</f>
        <v>Medium HP</v>
      </c>
      <c r="L22" s="32" t="s">
        <v>42</v>
      </c>
      <c r="M22" s="32" t="n">
        <v>25</v>
      </c>
      <c r="N22" s="32" t="n">
        <v>107.5</v>
      </c>
      <c r="O22" s="32" t="n">
        <v>72.5</v>
      </c>
      <c r="P22" s="32" t="n">
        <v>200.9</v>
      </c>
      <c r="Q22" s="32" t="n">
        <v>3.33</v>
      </c>
      <c r="R22" s="32" t="n">
        <v>16.6</v>
      </c>
      <c r="S22" s="33" t="n">
        <v>40687</v>
      </c>
      <c r="X22" s="36"/>
      <c r="Y22" s="36"/>
      <c r="Z22" s="36"/>
    </row>
    <row r="23" customFormat="false" ht="16.15" hidden="true" customHeight="false" outlineLevel="0" collapsed="false">
      <c r="A23" s="27" t="s">
        <v>65</v>
      </c>
      <c r="B23" s="28" t="s">
        <v>69</v>
      </c>
      <c r="C23" s="32" t="n">
        <v>72.03091719</v>
      </c>
      <c r="D23" s="29" t="n">
        <v>42593</v>
      </c>
      <c r="E23" s="30" t="n">
        <v>19390</v>
      </c>
      <c r="F23" s="30" t="n">
        <v>11525</v>
      </c>
      <c r="G23" s="31" t="n">
        <f aca="false">SUM(F23/E23)</f>
        <v>0.594378545642084</v>
      </c>
      <c r="H23" s="31" t="str">
        <f aca="false">IF(G23&gt;69%, "GOOD", "POOR")</f>
        <v>POOR</v>
      </c>
      <c r="I23" s="32" t="n">
        <v>3.4</v>
      </c>
      <c r="J23" s="32" t="n">
        <v>180</v>
      </c>
      <c r="K23" s="32" t="str">
        <f aca="false" t="array" ref="K23:K23">_xlfn.IFS(J23&gt;299,"High HP",J23&gt;99,"Medium HP",J23&lt;100,"Low HP")</f>
        <v>Medium HP</v>
      </c>
      <c r="L23" s="32" t="s">
        <v>42</v>
      </c>
      <c r="M23" s="32" t="n">
        <v>27</v>
      </c>
      <c r="N23" s="32" t="n">
        <v>110.5</v>
      </c>
      <c r="O23" s="32" t="n">
        <v>72.7</v>
      </c>
      <c r="P23" s="32" t="n">
        <v>197.9</v>
      </c>
      <c r="Q23" s="32" t="n">
        <v>3.34</v>
      </c>
      <c r="R23" s="32" t="n">
        <v>17</v>
      </c>
      <c r="S23" s="33" t="n">
        <v>40899</v>
      </c>
    </row>
    <row r="24" customFormat="false" ht="16.15" hidden="true" customHeight="false" outlineLevel="0" collapsed="false">
      <c r="A24" s="27" t="s">
        <v>65</v>
      </c>
      <c r="B24" s="28" t="s">
        <v>70</v>
      </c>
      <c r="C24" s="32" t="n">
        <v>81.11854333</v>
      </c>
      <c r="D24" s="29" t="n">
        <v>26402</v>
      </c>
      <c r="E24" s="30" t="n">
        <v>24340</v>
      </c>
      <c r="F24" s="30" t="n">
        <v>13025</v>
      </c>
      <c r="G24" s="31" t="n">
        <f aca="false">SUM(F24/E24)</f>
        <v>0.535127362366475</v>
      </c>
      <c r="H24" s="31" t="str">
        <f aca="false">IF(G24&gt;69%, "GOOD", "POOR")</f>
        <v>POOR</v>
      </c>
      <c r="I24" s="32" t="n">
        <v>3.8</v>
      </c>
      <c r="J24" s="32" t="n">
        <v>200</v>
      </c>
      <c r="K24" s="32" t="str">
        <f aca="false" t="array" ref="K24:K24">_xlfn.IFS(J24&gt;299,"High HP",J24&gt;99,"Medium HP",J24&lt;100,"Low HP")</f>
        <v>Medium HP</v>
      </c>
      <c r="L24" s="32" t="s">
        <v>42</v>
      </c>
      <c r="M24" s="32" t="n">
        <v>25</v>
      </c>
      <c r="N24" s="32" t="n">
        <v>101.1</v>
      </c>
      <c r="O24" s="32" t="n">
        <v>74.1</v>
      </c>
      <c r="P24" s="32" t="n">
        <v>193.2</v>
      </c>
      <c r="Q24" s="32" t="n">
        <v>3.5</v>
      </c>
      <c r="R24" s="32" t="n">
        <v>16.8</v>
      </c>
      <c r="S24" s="33" t="n">
        <v>40839</v>
      </c>
    </row>
    <row r="25" customFormat="false" ht="16.15" hidden="true" customHeight="false" outlineLevel="0" collapsed="false">
      <c r="A25" s="27" t="s">
        <v>65</v>
      </c>
      <c r="B25" s="28" t="s">
        <v>71</v>
      </c>
      <c r="C25" s="32" t="n">
        <v>141.14115</v>
      </c>
      <c r="D25" s="29" t="n">
        <v>17947</v>
      </c>
      <c r="E25" s="30" t="n">
        <v>55705</v>
      </c>
      <c r="F25" s="30" t="n">
        <v>36225</v>
      </c>
      <c r="G25" s="31" t="n">
        <f aca="false">SUM(F25/E25)</f>
        <v>0.650300691140831</v>
      </c>
      <c r="H25" s="31" t="str">
        <f aca="false">IF(G25&gt;69%, "GOOD", "POOR")</f>
        <v>POOR</v>
      </c>
      <c r="I25" s="32" t="n">
        <v>5.7</v>
      </c>
      <c r="J25" s="32" t="n">
        <v>345</v>
      </c>
      <c r="K25" s="32" t="str">
        <f aca="false" t="array" ref="K25:K25">_xlfn.IFS(J25&gt;299,"High HP",J25&gt;99,"Medium HP",J25&lt;100,"Low HP")</f>
        <v>High HP</v>
      </c>
      <c r="L25" s="32" t="s">
        <v>42</v>
      </c>
      <c r="M25" s="32" t="n">
        <v>22</v>
      </c>
      <c r="N25" s="32" t="n">
        <v>104.5</v>
      </c>
      <c r="O25" s="32" t="n">
        <v>73.6</v>
      </c>
      <c r="P25" s="32" t="n">
        <v>179.7</v>
      </c>
      <c r="Q25" s="32" t="n">
        <v>3.21</v>
      </c>
      <c r="R25" s="32" t="n">
        <v>19.1</v>
      </c>
      <c r="S25" s="33" t="n">
        <v>41041</v>
      </c>
    </row>
    <row r="26" customFormat="false" ht="16.15" hidden="true" customHeight="false" outlineLevel="0" collapsed="false">
      <c r="A26" s="27" t="s">
        <v>65</v>
      </c>
      <c r="B26" s="28" t="s">
        <v>72</v>
      </c>
      <c r="C26" s="32" t="n">
        <v>48.2976361</v>
      </c>
      <c r="D26" s="29" t="n">
        <v>32299</v>
      </c>
      <c r="E26" s="30" t="n">
        <v>13960</v>
      </c>
      <c r="F26" s="30" t="n">
        <v>9125</v>
      </c>
      <c r="G26" s="31" t="n">
        <f aca="false">SUM(F26/E26)</f>
        <v>0.65365329512894</v>
      </c>
      <c r="H26" s="31" t="str">
        <f aca="false">IF(G26&gt;69%, "GOOD", "POOR")</f>
        <v>POOR</v>
      </c>
      <c r="I26" s="32" t="n">
        <v>1.8</v>
      </c>
      <c r="J26" s="32" t="n">
        <v>120</v>
      </c>
      <c r="K26" s="32" t="str">
        <f aca="false" t="array" ref="K26:K26">_xlfn.IFS(J26&gt;299,"High HP",J26&gt;99,"Medium HP",J26&lt;100,"Low HP")</f>
        <v>Medium HP</v>
      </c>
      <c r="L26" s="32" t="s">
        <v>42</v>
      </c>
      <c r="M26" s="32" t="n">
        <v>33</v>
      </c>
      <c r="N26" s="32" t="n">
        <v>97.1</v>
      </c>
      <c r="O26" s="32" t="n">
        <v>66.7</v>
      </c>
      <c r="P26" s="32" t="n">
        <v>174.3</v>
      </c>
      <c r="Q26" s="32" t="n">
        <v>2.398</v>
      </c>
      <c r="R26" s="32" t="n">
        <v>13.2</v>
      </c>
      <c r="S26" s="33" t="n">
        <v>40797</v>
      </c>
    </row>
    <row r="27" customFormat="false" ht="16.15" hidden="true" customHeight="false" outlineLevel="0" collapsed="false">
      <c r="A27" s="27" t="s">
        <v>65</v>
      </c>
      <c r="B27" s="28" t="s">
        <v>73</v>
      </c>
      <c r="C27" s="32" t="n">
        <v>23.27627233</v>
      </c>
      <c r="D27" s="29" t="n">
        <v>21855</v>
      </c>
      <c r="E27" s="30" t="n">
        <v>9235</v>
      </c>
      <c r="F27" s="30" t="n">
        <v>5160</v>
      </c>
      <c r="G27" s="31" t="n">
        <f aca="false">SUM(F27/E27)</f>
        <v>0.558743909041689</v>
      </c>
      <c r="H27" s="31" t="str">
        <f aca="false">IF(G27&gt;69%, "GOOD", "POOR")</f>
        <v>POOR</v>
      </c>
      <c r="I27" s="32" t="n">
        <v>1</v>
      </c>
      <c r="J27" s="32" t="n">
        <v>55</v>
      </c>
      <c r="K27" s="32" t="str">
        <f aca="false" t="array" ref="K27:K27">_xlfn.IFS(J27&gt;299,"High HP",J27&gt;99,"Medium HP",J27&lt;100,"Low HP")</f>
        <v>Low HP</v>
      </c>
      <c r="L27" s="32" t="s">
        <v>42</v>
      </c>
      <c r="M27" s="32" t="n">
        <v>45</v>
      </c>
      <c r="N27" s="32" t="n">
        <v>93.1</v>
      </c>
      <c r="O27" s="32" t="n">
        <v>62.6</v>
      </c>
      <c r="P27" s="32" t="n">
        <v>149.4</v>
      </c>
      <c r="Q27" s="32" t="n">
        <v>1.895</v>
      </c>
      <c r="R27" s="32" t="n">
        <v>10.3</v>
      </c>
      <c r="S27" s="33" t="n">
        <v>41012</v>
      </c>
    </row>
    <row r="28" customFormat="false" ht="16.15" hidden="true" customHeight="false" outlineLevel="0" collapsed="false">
      <c r="A28" s="27" t="s">
        <v>65</v>
      </c>
      <c r="B28" s="28" t="s">
        <v>74</v>
      </c>
      <c r="C28" s="32" t="n">
        <v>71.83803944</v>
      </c>
      <c r="D28" s="29" t="n">
        <v>107995</v>
      </c>
      <c r="E28" s="30" t="n">
        <v>18890</v>
      </c>
      <c r="F28" s="30" t="n">
        <v>11550</v>
      </c>
      <c r="G28" s="31" t="n">
        <f aca="false">SUM(F28/E28)</f>
        <v>0.611434621492853</v>
      </c>
      <c r="H28" s="31" t="str">
        <f aca="false">IF(G28&gt;69%, "GOOD", "POOR")</f>
        <v>POOR</v>
      </c>
      <c r="I28" s="32" t="n">
        <v>3.4</v>
      </c>
      <c r="J28" s="32" t="n">
        <v>180</v>
      </c>
      <c r="K28" s="32" t="str">
        <f aca="false" t="array" ref="K28:K28">_xlfn.IFS(J28&gt;299,"High HP",J28&gt;99,"Medium HP",J28&lt;100,"Low HP")</f>
        <v>Medium HP</v>
      </c>
      <c r="L28" s="32" t="s">
        <v>42</v>
      </c>
      <c r="M28" s="32" t="n">
        <v>27</v>
      </c>
      <c r="N28" s="32" t="n">
        <v>110.5</v>
      </c>
      <c r="O28" s="32" t="n">
        <v>73</v>
      </c>
      <c r="P28" s="32" t="n">
        <v>200</v>
      </c>
      <c r="Q28" s="32" t="n">
        <v>3.389</v>
      </c>
      <c r="R28" s="32" t="n">
        <v>17</v>
      </c>
      <c r="S28" s="33" t="n">
        <v>40712</v>
      </c>
    </row>
    <row r="29" customFormat="false" ht="16.15" hidden="true" customHeight="false" outlineLevel="0" collapsed="false">
      <c r="A29" s="27" t="s">
        <v>75</v>
      </c>
      <c r="B29" s="28" t="s">
        <v>76</v>
      </c>
      <c r="C29" s="32" t="n">
        <v>65.95718396</v>
      </c>
      <c r="D29" s="29" t="n">
        <v>7854</v>
      </c>
      <c r="E29" s="30" t="n">
        <v>19840</v>
      </c>
      <c r="F29" s="30" t="n">
        <v>12360</v>
      </c>
      <c r="G29" s="31" t="n">
        <f aca="false">SUM(F29/E29)</f>
        <v>0.622983870967742</v>
      </c>
      <c r="H29" s="31" t="str">
        <f aca="false">IF(G29&gt;69%, "GOOD", "POOR")</f>
        <v>POOR</v>
      </c>
      <c r="I29" s="32" t="n">
        <v>2.5</v>
      </c>
      <c r="J29" s="32" t="n">
        <v>163</v>
      </c>
      <c r="K29" s="32" t="str">
        <f aca="false" t="array" ref="K29:K29">_xlfn.IFS(J29&gt;299,"High HP",J29&gt;99,"Medium HP",J29&lt;100,"Low HP")</f>
        <v>Medium HP</v>
      </c>
      <c r="L29" s="32" t="s">
        <v>42</v>
      </c>
      <c r="M29" s="32" t="n">
        <v>24</v>
      </c>
      <c r="N29" s="32" t="n">
        <v>103.7</v>
      </c>
      <c r="O29" s="32" t="n">
        <v>69.7</v>
      </c>
      <c r="P29" s="32" t="n">
        <v>190.9</v>
      </c>
      <c r="Q29" s="32" t="n">
        <v>2.967</v>
      </c>
      <c r="R29" s="32" t="n">
        <v>15.9</v>
      </c>
      <c r="S29" s="33" t="n">
        <v>40924</v>
      </c>
    </row>
    <row r="30" customFormat="false" ht="16.15" hidden="true" customHeight="false" outlineLevel="0" collapsed="false">
      <c r="A30" s="27" t="s">
        <v>75</v>
      </c>
      <c r="B30" s="28" t="s">
        <v>77</v>
      </c>
      <c r="C30" s="32" t="n">
        <v>69.52135505</v>
      </c>
      <c r="D30" s="29" t="n">
        <v>32775</v>
      </c>
      <c r="E30" s="30" t="n">
        <v>24495</v>
      </c>
      <c r="F30" s="30" t="n">
        <v>14180</v>
      </c>
      <c r="G30" s="31" t="n">
        <f aca="false">SUM(F30/E30)</f>
        <v>0.578893651765666</v>
      </c>
      <c r="H30" s="31" t="str">
        <f aca="false">IF(G30&gt;69%, "GOOD", "POOR")</f>
        <v>POOR</v>
      </c>
      <c r="I30" s="32" t="n">
        <v>2.5</v>
      </c>
      <c r="J30" s="32" t="n">
        <v>168</v>
      </c>
      <c r="K30" s="32" t="str">
        <f aca="false" t="array" ref="K30:K30">_xlfn.IFS(J30&gt;299,"High HP",J30&gt;99,"Medium HP",J30&lt;100,"Low HP")</f>
        <v>Medium HP</v>
      </c>
      <c r="L30" s="32" t="s">
        <v>42</v>
      </c>
      <c r="M30" s="32" t="n">
        <v>24</v>
      </c>
      <c r="N30" s="32" t="n">
        <v>106</v>
      </c>
      <c r="O30" s="32" t="n">
        <v>69.2</v>
      </c>
      <c r="P30" s="32" t="n">
        <v>193</v>
      </c>
      <c r="Q30" s="32" t="n">
        <v>3.332</v>
      </c>
      <c r="R30" s="32" t="n">
        <v>16</v>
      </c>
      <c r="S30" s="33" t="n">
        <v>40864</v>
      </c>
    </row>
    <row r="31" customFormat="false" ht="16.15" hidden="true" customHeight="false" outlineLevel="0" collapsed="false">
      <c r="A31" s="27" t="s">
        <v>75</v>
      </c>
      <c r="B31" s="28" t="s">
        <v>78</v>
      </c>
      <c r="C31" s="32" t="n">
        <v>80.02378204</v>
      </c>
      <c r="D31" s="29" t="n">
        <v>31148</v>
      </c>
      <c r="E31" s="30" t="n">
        <v>22245</v>
      </c>
      <c r="F31" s="30" t="n">
        <v>13725</v>
      </c>
      <c r="G31" s="31" t="n">
        <f aca="false">SUM(F31/E31)</f>
        <v>0.616992582602832</v>
      </c>
      <c r="H31" s="31" t="str">
        <f aca="false">IF(G31&gt;69%, "GOOD", "POOR")</f>
        <v>POOR</v>
      </c>
      <c r="I31" s="32" t="n">
        <v>2.7</v>
      </c>
      <c r="J31" s="32" t="n">
        <v>200</v>
      </c>
      <c r="K31" s="32" t="str">
        <f aca="false" t="array" ref="K31:K31">_xlfn.IFS(J31&gt;299,"High HP",J31&gt;99,"Medium HP",J31&lt;100,"Low HP")</f>
        <v>Medium HP</v>
      </c>
      <c r="L31" s="32" t="s">
        <v>42</v>
      </c>
      <c r="M31" s="32" t="n">
        <v>26</v>
      </c>
      <c r="N31" s="32" t="n">
        <v>113</v>
      </c>
      <c r="O31" s="32" t="n">
        <v>74.4</v>
      </c>
      <c r="P31" s="32" t="n">
        <v>209.1</v>
      </c>
      <c r="Q31" s="32" t="n">
        <v>3.452</v>
      </c>
      <c r="R31" s="32" t="n">
        <v>17</v>
      </c>
      <c r="S31" s="33" t="n">
        <v>41066</v>
      </c>
    </row>
    <row r="32" customFormat="false" ht="16.15" hidden="true" customHeight="false" outlineLevel="0" collapsed="false">
      <c r="A32" s="27" t="s">
        <v>75</v>
      </c>
      <c r="B32" s="28" t="s">
        <v>79</v>
      </c>
      <c r="C32" s="32" t="n">
        <v>53.56619987</v>
      </c>
      <c r="D32" s="29" t="n">
        <v>32306</v>
      </c>
      <c r="E32" s="30" t="n">
        <v>16480</v>
      </c>
      <c r="F32" s="30" t="n">
        <v>12640</v>
      </c>
      <c r="G32" s="31" t="n">
        <f aca="false">SUM(F32/E32)</f>
        <v>0.766990291262136</v>
      </c>
      <c r="H32" s="31" t="str">
        <f aca="false">IF(G32&gt;69%, "GOOD", "POOR")</f>
        <v>GOOD</v>
      </c>
      <c r="I32" s="32" t="n">
        <v>2</v>
      </c>
      <c r="J32" s="32" t="n">
        <v>132</v>
      </c>
      <c r="K32" s="32" t="str">
        <f aca="false" t="array" ref="K32:K32">_xlfn.IFS(J32&gt;299,"High HP",J32&gt;99,"Medium HP",J32&lt;100,"Low HP")</f>
        <v>Medium HP</v>
      </c>
      <c r="L32" s="32" t="s">
        <v>42</v>
      </c>
      <c r="M32" s="32" t="n">
        <v>27</v>
      </c>
      <c r="N32" s="32" t="n">
        <v>108</v>
      </c>
      <c r="O32" s="32" t="n">
        <v>71</v>
      </c>
      <c r="P32" s="32" t="n">
        <v>186</v>
      </c>
      <c r="Q32" s="32" t="n">
        <v>2.911</v>
      </c>
      <c r="R32" s="32" t="n">
        <v>16</v>
      </c>
      <c r="S32" s="33" t="n">
        <v>40822</v>
      </c>
    </row>
    <row r="33" customFormat="false" ht="16.15" hidden="true" customHeight="false" outlineLevel="0" collapsed="false">
      <c r="A33" s="27" t="s">
        <v>75</v>
      </c>
      <c r="B33" s="28" t="s">
        <v>80</v>
      </c>
      <c r="C33" s="32" t="n">
        <v>101.3292807</v>
      </c>
      <c r="D33" s="29" t="n">
        <v>13462</v>
      </c>
      <c r="E33" s="30" t="n">
        <v>28340</v>
      </c>
      <c r="F33" s="30" t="n">
        <v>17325</v>
      </c>
      <c r="G33" s="31" t="n">
        <f aca="false">SUM(F33/E33)</f>
        <v>0.611326746647848</v>
      </c>
      <c r="H33" s="31" t="str">
        <f aca="false">IF(G33&gt;69%, "GOOD", "POOR")</f>
        <v>POOR</v>
      </c>
      <c r="I33" s="32" t="n">
        <v>3.5</v>
      </c>
      <c r="J33" s="32" t="n">
        <v>253</v>
      </c>
      <c r="K33" s="32" t="str">
        <f aca="false" t="array" ref="K33:K33">_xlfn.IFS(J33&gt;299,"High HP",J33&gt;99,"Medium HP",J33&lt;100,"Low HP")</f>
        <v>Medium HP</v>
      </c>
      <c r="L33" s="32" t="s">
        <v>42</v>
      </c>
      <c r="M33" s="32" t="n">
        <v>23</v>
      </c>
      <c r="N33" s="32" t="n">
        <v>113</v>
      </c>
      <c r="O33" s="32" t="n">
        <v>74.4</v>
      </c>
      <c r="P33" s="32" t="n">
        <v>207.7</v>
      </c>
      <c r="Q33" s="32" t="n">
        <v>3.564</v>
      </c>
      <c r="R33" s="32" t="n">
        <v>17</v>
      </c>
      <c r="S33" s="33" t="n">
        <v>41037</v>
      </c>
    </row>
    <row r="34" customFormat="false" ht="16.15" hidden="true" customHeight="false" outlineLevel="0" collapsed="false">
      <c r="A34" s="27" t="s">
        <v>75</v>
      </c>
      <c r="B34" s="28" t="s">
        <v>81</v>
      </c>
      <c r="C34" s="32" t="n">
        <v>101.6552441</v>
      </c>
      <c r="D34" s="29" t="n">
        <v>30696</v>
      </c>
      <c r="E34" s="30" t="n">
        <v>29185</v>
      </c>
      <c r="F34" s="30" t="n">
        <v>18425</v>
      </c>
      <c r="G34" s="31" t="n">
        <f aca="false">SUM(F34/E34)</f>
        <v>0.631317457598081</v>
      </c>
      <c r="H34" s="31" t="str">
        <f aca="false">IF(G34&gt;69%, "GOOD", "POOR")</f>
        <v>POOR</v>
      </c>
      <c r="I34" s="32" t="n">
        <v>3.5</v>
      </c>
      <c r="J34" s="32" t="n">
        <v>253</v>
      </c>
      <c r="K34" s="32" t="str">
        <f aca="false" t="array" ref="K34:K34">_xlfn.IFS(J34&gt;299,"High HP",J34&gt;99,"Medium HP",J34&lt;100,"Low HP")</f>
        <v>Medium HP</v>
      </c>
      <c r="L34" s="32" t="s">
        <v>42</v>
      </c>
      <c r="M34" s="32" t="n">
        <v>23</v>
      </c>
      <c r="N34" s="32" t="n">
        <v>113</v>
      </c>
      <c r="O34" s="32" t="n">
        <v>74.4</v>
      </c>
      <c r="P34" s="32" t="n">
        <v>197.8</v>
      </c>
      <c r="Q34" s="32" t="n">
        <v>3.567</v>
      </c>
      <c r="R34" s="32" t="n">
        <v>17</v>
      </c>
      <c r="S34" s="33" t="n">
        <v>40949</v>
      </c>
    </row>
    <row r="35" customFormat="false" ht="16.15" hidden="true" customHeight="false" outlineLevel="0" collapsed="false">
      <c r="A35" s="27" t="s">
        <v>82</v>
      </c>
      <c r="B35" s="28" t="s">
        <v>83</v>
      </c>
      <c r="C35" s="32" t="n">
        <v>52.08489875</v>
      </c>
      <c r="D35" s="29" t="n">
        <v>76034</v>
      </c>
      <c r="E35" s="30" t="n">
        <v>12640</v>
      </c>
      <c r="F35" s="30" t="n">
        <v>7750</v>
      </c>
      <c r="G35" s="31" t="n">
        <f aca="false">SUM(F35/E35)</f>
        <v>0.613132911392405</v>
      </c>
      <c r="H35" s="31" t="str">
        <f aca="false">IF(G35&gt;69%, "GOOD", "POOR")</f>
        <v>POOR</v>
      </c>
      <c r="I35" s="32" t="n">
        <v>2</v>
      </c>
      <c r="J35" s="32" t="n">
        <v>132</v>
      </c>
      <c r="K35" s="32" t="str">
        <f aca="false" t="array" ref="K35:K35">_xlfn.IFS(J35&gt;299,"High HP",J35&gt;99,"Medium HP",J35&lt;100,"Low HP")</f>
        <v>Medium HP</v>
      </c>
      <c r="L35" s="32" t="s">
        <v>42</v>
      </c>
      <c r="M35" s="32" t="n">
        <v>29</v>
      </c>
      <c r="N35" s="32" t="n">
        <v>105</v>
      </c>
      <c r="O35" s="32" t="n">
        <v>74.4</v>
      </c>
      <c r="P35" s="32" t="n">
        <v>174.4</v>
      </c>
      <c r="Q35" s="32" t="n">
        <v>2.567</v>
      </c>
      <c r="R35" s="32" t="n">
        <v>12.5</v>
      </c>
      <c r="S35" s="33" t="n">
        <v>40889</v>
      </c>
    </row>
    <row r="36" customFormat="false" ht="16.15" hidden="true" customHeight="false" outlineLevel="0" collapsed="false">
      <c r="A36" s="27" t="s">
        <v>82</v>
      </c>
      <c r="B36" s="28" t="s">
        <v>84</v>
      </c>
      <c r="C36" s="32" t="n">
        <v>65.65050834</v>
      </c>
      <c r="D36" s="29" t="n">
        <v>4734</v>
      </c>
      <c r="E36" s="30" t="n">
        <v>19045</v>
      </c>
      <c r="F36" s="30" t="n">
        <v>12545</v>
      </c>
      <c r="G36" s="31" t="n">
        <f aca="false">SUM(F36/E36)</f>
        <v>0.658703071672355</v>
      </c>
      <c r="H36" s="31" t="str">
        <f aca="false">IF(G36&gt;69%, "GOOD", "POOR")</f>
        <v>POOR</v>
      </c>
      <c r="I36" s="32" t="n">
        <v>2.5</v>
      </c>
      <c r="J36" s="32" t="n">
        <v>163</v>
      </c>
      <c r="K36" s="32" t="str">
        <f aca="false" t="array" ref="K36:K36">_xlfn.IFS(J36&gt;299,"High HP",J36&gt;99,"Medium HP",J36&lt;100,"Low HP")</f>
        <v>Medium HP</v>
      </c>
      <c r="L36" s="32" t="s">
        <v>42</v>
      </c>
      <c r="M36" s="32" t="n">
        <v>24</v>
      </c>
      <c r="N36" s="32" t="n">
        <v>103.7</v>
      </c>
      <c r="O36" s="32" t="n">
        <v>69.1</v>
      </c>
      <c r="P36" s="32" t="n">
        <v>190.2</v>
      </c>
      <c r="Q36" s="32" t="n">
        <v>2.879</v>
      </c>
      <c r="R36" s="32" t="n">
        <v>15.9</v>
      </c>
      <c r="S36" s="33" t="n">
        <v>41091</v>
      </c>
    </row>
    <row r="37" customFormat="false" ht="16.15" hidden="true" customHeight="false" outlineLevel="0" collapsed="false">
      <c r="A37" s="27" t="s">
        <v>82</v>
      </c>
      <c r="B37" s="28" t="s">
        <v>85</v>
      </c>
      <c r="C37" s="32" t="n">
        <v>67.87610784</v>
      </c>
      <c r="D37" s="29" t="n">
        <v>71186</v>
      </c>
      <c r="E37" s="30" t="n">
        <v>20230</v>
      </c>
      <c r="F37" s="30" t="n">
        <v>10185</v>
      </c>
      <c r="G37" s="31" t="n">
        <f aca="false">SUM(F37/E37)</f>
        <v>0.503460207612457</v>
      </c>
      <c r="H37" s="31" t="str">
        <f aca="false">IF(G37&gt;69%, "GOOD", "POOR")</f>
        <v>POOR</v>
      </c>
      <c r="I37" s="32" t="n">
        <v>2.5</v>
      </c>
      <c r="J37" s="32" t="n">
        <v>168</v>
      </c>
      <c r="K37" s="32" t="str">
        <f aca="false" t="array" ref="K37:K37">_xlfn.IFS(J37&gt;299,"High HP",J37&gt;99,"Medium HP",J37&lt;100,"Low HP")</f>
        <v>Medium HP</v>
      </c>
      <c r="L37" s="32" t="s">
        <v>42</v>
      </c>
      <c r="M37" s="32" t="n">
        <v>24</v>
      </c>
      <c r="N37" s="32" t="n">
        <v>108</v>
      </c>
      <c r="O37" s="32" t="n">
        <v>71</v>
      </c>
      <c r="P37" s="32" t="n">
        <v>186</v>
      </c>
      <c r="Q37" s="32" t="n">
        <v>3.058</v>
      </c>
      <c r="R37" s="32" t="n">
        <v>16</v>
      </c>
      <c r="S37" s="33" t="n">
        <v>40847</v>
      </c>
    </row>
    <row r="38" customFormat="false" ht="16.15" hidden="true" customHeight="false" outlineLevel="0" collapsed="false">
      <c r="A38" s="27" t="s">
        <v>82</v>
      </c>
      <c r="B38" s="28" t="s">
        <v>86</v>
      </c>
      <c r="C38" s="32" t="n">
        <v>80.83147017</v>
      </c>
      <c r="D38" s="29" t="n">
        <v>88028</v>
      </c>
      <c r="E38" s="30" t="n">
        <v>22505</v>
      </c>
      <c r="F38" s="30" t="n">
        <v>12275</v>
      </c>
      <c r="G38" s="31" t="n">
        <f aca="false">SUM(F38/E38)</f>
        <v>0.545434347922684</v>
      </c>
      <c r="H38" s="31" t="str">
        <f aca="false">IF(G38&gt;69%, "GOOD", "POOR")</f>
        <v>POOR</v>
      </c>
      <c r="I38" s="32" t="n">
        <v>2.7</v>
      </c>
      <c r="J38" s="32" t="n">
        <v>202</v>
      </c>
      <c r="K38" s="32" t="str">
        <f aca="false" t="array" ref="K38:K38">_xlfn.IFS(J38&gt;299,"High HP",J38&gt;99,"Medium HP",J38&lt;100,"Low HP")</f>
        <v>Medium HP</v>
      </c>
      <c r="L38" s="32" t="s">
        <v>42</v>
      </c>
      <c r="M38" s="32" t="n">
        <v>22</v>
      </c>
      <c r="N38" s="32" t="n">
        <v>113</v>
      </c>
      <c r="O38" s="32" t="n">
        <v>74.7</v>
      </c>
      <c r="P38" s="32" t="n">
        <v>203.7</v>
      </c>
      <c r="Q38" s="32" t="n">
        <v>3.489</v>
      </c>
      <c r="R38" s="32" t="n">
        <v>17</v>
      </c>
      <c r="S38" s="33" t="n">
        <v>41062</v>
      </c>
    </row>
    <row r="39" customFormat="false" ht="16.15" hidden="true" customHeight="false" outlineLevel="0" collapsed="false">
      <c r="A39" s="27" t="s">
        <v>82</v>
      </c>
      <c r="B39" s="28" t="s">
        <v>87</v>
      </c>
      <c r="C39" s="32" t="n">
        <v>188.144323</v>
      </c>
      <c r="D39" s="29" t="n">
        <v>916</v>
      </c>
      <c r="E39" s="30" t="n">
        <v>69725</v>
      </c>
      <c r="F39" s="30" t="n">
        <v>58470</v>
      </c>
      <c r="G39" s="31" t="n">
        <f aca="false">SUM(F39/E39)</f>
        <v>0.838580136249552</v>
      </c>
      <c r="H39" s="31" t="str">
        <f aca="false">IF(G39&gt;69%, "GOOD", "POOR")</f>
        <v>GOOD</v>
      </c>
      <c r="I39" s="32" t="n">
        <v>8</v>
      </c>
      <c r="J39" s="32" t="n">
        <v>450</v>
      </c>
      <c r="K39" s="32" t="str">
        <f aca="false" t="array" ref="K39:K39">_xlfn.IFS(J39&gt;299,"High HP",J39&gt;99,"Medium HP",J39&lt;100,"Low HP")</f>
        <v>High HP</v>
      </c>
      <c r="L39" s="32" t="s">
        <v>42</v>
      </c>
      <c r="M39" s="32" t="n">
        <v>16</v>
      </c>
      <c r="N39" s="32" t="n">
        <v>96.2</v>
      </c>
      <c r="O39" s="32" t="n">
        <v>75.7</v>
      </c>
      <c r="P39" s="32" t="n">
        <v>176.7</v>
      </c>
      <c r="Q39" s="32" t="n">
        <v>3.375</v>
      </c>
      <c r="R39" s="32" t="n">
        <v>19</v>
      </c>
      <c r="S39" s="33" t="n">
        <v>40762</v>
      </c>
    </row>
    <row r="40" customFormat="false" ht="16.15" hidden="true" customHeight="false" outlineLevel="0" collapsed="false">
      <c r="A40" s="27" t="s">
        <v>82</v>
      </c>
      <c r="B40" s="28" t="s">
        <v>88</v>
      </c>
      <c r="C40" s="32" t="n">
        <v>90.21170005</v>
      </c>
      <c r="D40" s="29" t="n">
        <v>227061</v>
      </c>
      <c r="E40" s="30" t="n">
        <v>19460</v>
      </c>
      <c r="F40" s="30" t="n">
        <v>15060</v>
      </c>
      <c r="G40" s="31" t="n">
        <f aca="false">SUM(F40/E40)</f>
        <v>0.773895169578623</v>
      </c>
      <c r="H40" s="31" t="str">
        <f aca="false">IF(G40&gt;69%, "GOOD", "POOR")</f>
        <v>GOOD</v>
      </c>
      <c r="I40" s="32" t="n">
        <v>5.2</v>
      </c>
      <c r="J40" s="32" t="n">
        <v>230</v>
      </c>
      <c r="K40" s="32" t="str">
        <f aca="false" t="array" ref="K40:K40">_xlfn.IFS(J40&gt;299,"High HP",J40&gt;99,"Medium HP",J40&lt;100,"Low HP")</f>
        <v>Medium HP</v>
      </c>
      <c r="L40" s="32" t="s">
        <v>64</v>
      </c>
      <c r="M40" s="32" t="n">
        <v>17</v>
      </c>
      <c r="N40" s="32" t="n">
        <v>138.7</v>
      </c>
      <c r="O40" s="32" t="n">
        <v>79.3</v>
      </c>
      <c r="P40" s="32" t="n">
        <v>224.2</v>
      </c>
      <c r="Q40" s="32" t="n">
        <v>4.47</v>
      </c>
      <c r="R40" s="32" t="n">
        <v>26</v>
      </c>
      <c r="S40" s="33" t="n">
        <v>40974</v>
      </c>
    </row>
    <row r="41" customFormat="false" ht="16.15" hidden="true" customHeight="false" outlineLevel="0" collapsed="false">
      <c r="A41" s="27" t="s">
        <v>82</v>
      </c>
      <c r="B41" s="28" t="s">
        <v>89</v>
      </c>
      <c r="C41" s="32" t="n">
        <v>71.13529161</v>
      </c>
      <c r="D41" s="29" t="n">
        <v>16767</v>
      </c>
      <c r="E41" s="30" t="n">
        <v>21315</v>
      </c>
      <c r="F41" s="30" t="n">
        <v>15510</v>
      </c>
      <c r="G41" s="31" t="n">
        <f aca="false">SUM(F41/E41)</f>
        <v>0.727656579873329</v>
      </c>
      <c r="H41" s="31" t="str">
        <f aca="false">IF(G41&gt;69%, "GOOD", "POOR")</f>
        <v>GOOD</v>
      </c>
      <c r="I41" s="32" t="n">
        <v>3.9</v>
      </c>
      <c r="J41" s="32" t="n">
        <v>175</v>
      </c>
      <c r="K41" s="32" t="str">
        <f aca="false" t="array" ref="K41:K41">_xlfn.IFS(J41&gt;299,"High HP",J41&gt;99,"Medium HP",J41&lt;100,"Low HP")</f>
        <v>Medium HP</v>
      </c>
      <c r="L41" s="32" t="s">
        <v>64</v>
      </c>
      <c r="M41" s="32" t="n">
        <v>15</v>
      </c>
      <c r="N41" s="32" t="n">
        <v>109.6</v>
      </c>
      <c r="O41" s="32" t="n">
        <v>78.8</v>
      </c>
      <c r="P41" s="32" t="n">
        <v>192.6</v>
      </c>
      <c r="Q41" s="32" t="n">
        <v>4.245</v>
      </c>
      <c r="R41" s="32" t="n">
        <v>32</v>
      </c>
      <c r="S41" s="33" t="n">
        <v>40914</v>
      </c>
    </row>
    <row r="42" customFormat="false" ht="16.15" hidden="true" customHeight="false" outlineLevel="0" collapsed="false">
      <c r="A42" s="27" t="s">
        <v>82</v>
      </c>
      <c r="B42" s="28" t="s">
        <v>90</v>
      </c>
      <c r="C42" s="32" t="n">
        <v>70.07832154</v>
      </c>
      <c r="D42" s="29" t="n">
        <v>31038</v>
      </c>
      <c r="E42" s="30" t="n">
        <v>18575</v>
      </c>
      <c r="F42" s="30" t="n">
        <v>13425</v>
      </c>
      <c r="G42" s="31" t="n">
        <f aca="false">SUM(F42/E42)</f>
        <v>0.722745625841184</v>
      </c>
      <c r="H42" s="31" t="str">
        <f aca="false">IF(G42&gt;69%, "GOOD", "POOR")</f>
        <v>GOOD</v>
      </c>
      <c r="I42" s="32" t="n">
        <v>3.9</v>
      </c>
      <c r="J42" s="32" t="n">
        <v>175</v>
      </c>
      <c r="K42" s="32" t="str">
        <f aca="false" t="array" ref="K42:K42">_xlfn.IFS(J42&gt;299,"High HP",J42&gt;99,"Medium HP",J42&lt;100,"Low HP")</f>
        <v>Medium HP</v>
      </c>
      <c r="L42" s="32" t="s">
        <v>64</v>
      </c>
      <c r="M42" s="32" t="n">
        <v>16</v>
      </c>
      <c r="N42" s="32" t="n">
        <v>127.2</v>
      </c>
      <c r="O42" s="32" t="n">
        <v>78.8</v>
      </c>
      <c r="P42" s="32" t="n">
        <v>208.5</v>
      </c>
      <c r="Q42" s="32" t="n">
        <v>4.298</v>
      </c>
      <c r="R42" s="32" t="n">
        <v>32</v>
      </c>
      <c r="S42" s="33" t="n">
        <v>41116</v>
      </c>
    </row>
    <row r="43" customFormat="false" ht="16.15" hidden="true" customHeight="false" outlineLevel="0" collapsed="false">
      <c r="A43" s="27" t="s">
        <v>82</v>
      </c>
      <c r="B43" s="28" t="s">
        <v>91</v>
      </c>
      <c r="C43" s="32" t="n">
        <v>49.64500177</v>
      </c>
      <c r="D43" s="29" t="n">
        <v>111313</v>
      </c>
      <c r="E43" s="30" t="n">
        <v>16980</v>
      </c>
      <c r="F43" s="30" t="n">
        <v>11260</v>
      </c>
      <c r="G43" s="31" t="n">
        <f aca="false">SUM(F43/E43)</f>
        <v>0.663133097762073</v>
      </c>
      <c r="H43" s="31" t="str">
        <f aca="false">IF(G43&gt;69%, "GOOD", "POOR")</f>
        <v>POOR</v>
      </c>
      <c r="I43" s="32" t="n">
        <v>2.5</v>
      </c>
      <c r="J43" s="32" t="n">
        <v>120</v>
      </c>
      <c r="K43" s="32" t="str">
        <f aca="false" t="array" ref="K43:K43">_xlfn.IFS(J43&gt;299,"High HP",J43&gt;99,"Medium HP",J43&lt;100,"Low HP")</f>
        <v>Medium HP</v>
      </c>
      <c r="L43" s="32" t="s">
        <v>64</v>
      </c>
      <c r="M43" s="32" t="n">
        <v>19</v>
      </c>
      <c r="N43" s="32" t="n">
        <v>131</v>
      </c>
      <c r="O43" s="32" t="n">
        <v>71.5</v>
      </c>
      <c r="P43" s="32" t="n">
        <v>215</v>
      </c>
      <c r="Q43" s="32" t="n">
        <v>3.557</v>
      </c>
      <c r="R43" s="32" t="n">
        <v>22</v>
      </c>
      <c r="S43" s="33" t="n">
        <v>40872</v>
      </c>
    </row>
    <row r="44" customFormat="false" ht="16.15" hidden="true" customHeight="false" outlineLevel="0" collapsed="false">
      <c r="A44" s="27" t="s">
        <v>82</v>
      </c>
      <c r="B44" s="28" t="s">
        <v>92</v>
      </c>
      <c r="C44" s="32" t="n">
        <v>92.85412522</v>
      </c>
      <c r="D44" s="29" t="n">
        <v>101323</v>
      </c>
      <c r="E44" s="30" t="n">
        <v>26310</v>
      </c>
      <c r="F44" s="30" t="n">
        <v>21436</v>
      </c>
      <c r="G44" s="31" t="n">
        <f aca="false">SUM(F44/E44)</f>
        <v>0.814747244393767</v>
      </c>
      <c r="H44" s="31" t="str">
        <f aca="false">IF(G44&gt;69%, "GOOD", "POOR")</f>
        <v>GOOD</v>
      </c>
      <c r="I44" s="32" t="n">
        <v>5.2</v>
      </c>
      <c r="J44" s="32" t="n">
        <v>230</v>
      </c>
      <c r="K44" s="32" t="str">
        <f aca="false" t="array" ref="K44:K44">_xlfn.IFS(J44&gt;299,"High HP",J44&gt;99,"Medium HP",J44&lt;100,"Low HP")</f>
        <v>Medium HP</v>
      </c>
      <c r="L44" s="32" t="s">
        <v>64</v>
      </c>
      <c r="M44" s="32" t="n">
        <v>17</v>
      </c>
      <c r="N44" s="32" t="n">
        <v>115.7</v>
      </c>
      <c r="O44" s="32" t="n">
        <v>71.7</v>
      </c>
      <c r="P44" s="32" t="n">
        <v>193.5</v>
      </c>
      <c r="Q44" s="32" t="n">
        <v>4.394</v>
      </c>
      <c r="R44" s="32" t="n">
        <v>25</v>
      </c>
      <c r="S44" s="33" t="n">
        <v>41087</v>
      </c>
    </row>
    <row r="45" customFormat="false" ht="16.15" hidden="true" customHeight="false" outlineLevel="0" collapsed="false">
      <c r="A45" s="27" t="s">
        <v>82</v>
      </c>
      <c r="B45" s="28" t="s">
        <v>93</v>
      </c>
      <c r="C45" s="32" t="n">
        <v>61.22700031</v>
      </c>
      <c r="D45" s="29" t="n">
        <v>181749</v>
      </c>
      <c r="E45" s="30" t="n">
        <v>19565</v>
      </c>
      <c r="F45" s="30" t="n">
        <v>12025</v>
      </c>
      <c r="G45" s="31" t="n">
        <f aca="false">SUM(F45/E45)</f>
        <v>0.614617940199336</v>
      </c>
      <c r="H45" s="31" t="str">
        <f aca="false">IF(G45&gt;69%, "GOOD", "POOR")</f>
        <v>POOR</v>
      </c>
      <c r="I45" s="32" t="n">
        <v>2.4</v>
      </c>
      <c r="J45" s="32" t="n">
        <v>150</v>
      </c>
      <c r="K45" s="32" t="str">
        <f aca="false" t="array" ref="K45:K45">_xlfn.IFS(J45&gt;299,"High HP",J45&gt;99,"Medium HP",J45&lt;100,"Low HP")</f>
        <v>Medium HP</v>
      </c>
      <c r="L45" s="32" t="s">
        <v>64</v>
      </c>
      <c r="M45" s="32" t="n">
        <v>24</v>
      </c>
      <c r="N45" s="32" t="n">
        <v>113.3</v>
      </c>
      <c r="O45" s="32" t="n">
        <v>76.8</v>
      </c>
      <c r="P45" s="32" t="n">
        <v>186.3</v>
      </c>
      <c r="Q45" s="32" t="n">
        <v>3.533</v>
      </c>
      <c r="R45" s="32" t="n">
        <v>20</v>
      </c>
      <c r="S45" s="33" t="n">
        <v>40787</v>
      </c>
    </row>
    <row r="46" customFormat="false" ht="16.15" hidden="true" customHeight="false" outlineLevel="0" collapsed="false">
      <c r="A46" s="27" t="s">
        <v>94</v>
      </c>
      <c r="B46" s="28" t="s">
        <v>95</v>
      </c>
      <c r="C46" s="32" t="n">
        <v>44.08370946</v>
      </c>
      <c r="D46" s="29" t="n">
        <v>70227</v>
      </c>
      <c r="E46" s="30" t="n">
        <v>12070</v>
      </c>
      <c r="F46" s="30" t="n">
        <v>7425</v>
      </c>
      <c r="G46" s="31" t="n">
        <f aca="false">SUM(F46/E46)</f>
        <v>0.615161557580779</v>
      </c>
      <c r="H46" s="31" t="str">
        <f aca="false">IF(G46&gt;69%, "GOOD", "POOR")</f>
        <v>POOR</v>
      </c>
      <c r="I46" s="32" t="n">
        <v>2</v>
      </c>
      <c r="J46" s="32" t="n">
        <v>110</v>
      </c>
      <c r="K46" s="32" t="str">
        <f aca="false" t="array" ref="K46:K46">_xlfn.IFS(J46&gt;299,"High HP",J46&gt;99,"Medium HP",J46&lt;100,"Low HP")</f>
        <v>Medium HP</v>
      </c>
      <c r="L46" s="32" t="s">
        <v>42</v>
      </c>
      <c r="M46" s="32" t="n">
        <v>30</v>
      </c>
      <c r="N46" s="32" t="n">
        <v>98.4</v>
      </c>
      <c r="O46" s="32" t="n">
        <v>67</v>
      </c>
      <c r="P46" s="32" t="n">
        <v>174.7</v>
      </c>
      <c r="Q46" s="32" t="n">
        <v>2.468</v>
      </c>
      <c r="R46" s="32" t="n">
        <v>12.7</v>
      </c>
      <c r="S46" s="33" t="n">
        <v>40999</v>
      </c>
    </row>
    <row r="47" customFormat="false" ht="16.15" hidden="true" customHeight="false" outlineLevel="0" collapsed="false">
      <c r="A47" s="27" t="s">
        <v>94</v>
      </c>
      <c r="B47" s="28" t="s">
        <v>96</v>
      </c>
      <c r="C47" s="32" t="n">
        <v>76.50918456</v>
      </c>
      <c r="D47" s="29" t="n">
        <v>113369</v>
      </c>
      <c r="E47" s="30" t="n">
        <v>21560</v>
      </c>
      <c r="F47" s="30" t="n">
        <v>12760</v>
      </c>
      <c r="G47" s="31" t="n">
        <f aca="false">SUM(F47/E47)</f>
        <v>0.591836734693878</v>
      </c>
      <c r="H47" s="31" t="str">
        <f aca="false">IF(G47&gt;69%, "GOOD", "POOR")</f>
        <v>POOR</v>
      </c>
      <c r="I47" s="32" t="n">
        <v>3.8</v>
      </c>
      <c r="J47" s="32" t="n">
        <v>190</v>
      </c>
      <c r="K47" s="32" t="str">
        <f aca="false" t="array" ref="K47:K47">_xlfn.IFS(J47&gt;299,"High HP",J47&gt;99,"Medium HP",J47&lt;100,"Low HP")</f>
        <v>Medium HP</v>
      </c>
      <c r="L47" s="32" t="s">
        <v>42</v>
      </c>
      <c r="M47" s="32" t="n">
        <v>24</v>
      </c>
      <c r="N47" s="32" t="n">
        <v>101.3</v>
      </c>
      <c r="O47" s="32" t="n">
        <v>73.1</v>
      </c>
      <c r="P47" s="32" t="n">
        <v>183.2</v>
      </c>
      <c r="Q47" s="32" t="n">
        <v>3.203</v>
      </c>
      <c r="R47" s="32" t="n">
        <v>15.7</v>
      </c>
      <c r="S47" s="33" t="n">
        <v>40939</v>
      </c>
    </row>
    <row r="48" customFormat="false" ht="16.15" hidden="true" customHeight="false" outlineLevel="0" collapsed="false">
      <c r="A48" s="27" t="s">
        <v>94</v>
      </c>
      <c r="B48" s="28" t="s">
        <v>97</v>
      </c>
      <c r="C48" s="32" t="n">
        <v>67.35101072</v>
      </c>
      <c r="D48" s="29" t="n">
        <v>35068</v>
      </c>
      <c r="E48" s="30" t="n">
        <v>17035</v>
      </c>
      <c r="F48" s="30" t="n">
        <v>8835</v>
      </c>
      <c r="G48" s="31" t="n">
        <f aca="false">SUM(F48/E48)</f>
        <v>0.518638098033461</v>
      </c>
      <c r="H48" s="31" t="str">
        <f aca="false">IF(G48&gt;69%, "GOOD", "POOR")</f>
        <v>POOR</v>
      </c>
      <c r="I48" s="32" t="n">
        <v>2.5</v>
      </c>
      <c r="J48" s="32" t="n">
        <v>170</v>
      </c>
      <c r="K48" s="32" t="str">
        <f aca="false" t="array" ref="K48:K48">_xlfn.IFS(J48&gt;299,"High HP",J48&gt;99,"Medium HP",J48&lt;100,"Low HP")</f>
        <v>Medium HP</v>
      </c>
      <c r="L48" s="32" t="s">
        <v>42</v>
      </c>
      <c r="M48" s="32" t="n">
        <v>25</v>
      </c>
      <c r="N48" s="32" t="n">
        <v>106.5</v>
      </c>
      <c r="O48" s="32" t="n">
        <v>69.1</v>
      </c>
      <c r="P48" s="32" t="n">
        <v>184.6</v>
      </c>
      <c r="Q48" s="32" t="n">
        <v>2.769</v>
      </c>
      <c r="R48" s="32" t="n">
        <v>15</v>
      </c>
      <c r="S48" s="33" t="n">
        <v>41141</v>
      </c>
    </row>
    <row r="49" customFormat="false" ht="16.15" hidden="true" customHeight="false" outlineLevel="0" collapsed="false">
      <c r="A49" s="27" t="s">
        <v>94</v>
      </c>
      <c r="B49" s="28" t="s">
        <v>98</v>
      </c>
      <c r="C49" s="32" t="n">
        <v>62.5037395</v>
      </c>
      <c r="D49" s="29" t="n">
        <v>245815</v>
      </c>
      <c r="E49" s="30" t="n">
        <v>17885</v>
      </c>
      <c r="F49" s="30" t="n">
        <v>10055</v>
      </c>
      <c r="G49" s="31" t="n">
        <f aca="false">SUM(F49/E49)</f>
        <v>0.562202963377132</v>
      </c>
      <c r="H49" s="31" t="str">
        <f aca="false">IF(G49&gt;69%, "GOOD", "POOR")</f>
        <v>POOR</v>
      </c>
      <c r="I49" s="32" t="n">
        <v>3</v>
      </c>
      <c r="J49" s="32" t="n">
        <v>155</v>
      </c>
      <c r="K49" s="32" t="str">
        <f aca="false" t="array" ref="K49:K49">_xlfn.IFS(J49&gt;299,"High HP",J49&gt;99,"Medium HP",J49&lt;100,"Low HP")</f>
        <v>Medium HP</v>
      </c>
      <c r="L49" s="32" t="s">
        <v>42</v>
      </c>
      <c r="M49" s="32" t="n">
        <v>24</v>
      </c>
      <c r="N49" s="32" t="n">
        <v>108.5</v>
      </c>
      <c r="O49" s="32" t="n">
        <v>73</v>
      </c>
      <c r="P49" s="32" t="n">
        <v>197.6</v>
      </c>
      <c r="Q49" s="32" t="n">
        <v>3.368</v>
      </c>
      <c r="R49" s="32" t="n">
        <v>16</v>
      </c>
      <c r="S49" s="33" t="n">
        <v>40897</v>
      </c>
    </row>
    <row r="50" customFormat="false" ht="16.15" hidden="true" customHeight="false" outlineLevel="0" collapsed="false">
      <c r="A50" s="27" t="s">
        <v>94</v>
      </c>
      <c r="B50" s="28" t="s">
        <v>99</v>
      </c>
      <c r="C50" s="32" t="n">
        <v>43.11713201</v>
      </c>
      <c r="D50" s="29" t="n">
        <v>175670</v>
      </c>
      <c r="E50" s="30" t="n">
        <v>12315</v>
      </c>
      <c r="F50" s="30" t="n">
        <v>8670</v>
      </c>
      <c r="G50" s="31" t="n">
        <f aca="false">SUM(F50/E50)</f>
        <v>0.704019488428745</v>
      </c>
      <c r="H50" s="31" t="str">
        <f aca="false">IF(G50&gt;69%, "GOOD", "POOR")</f>
        <v>GOOD</v>
      </c>
      <c r="I50" s="32" t="n">
        <v>2</v>
      </c>
      <c r="J50" s="32" t="n">
        <v>107</v>
      </c>
      <c r="K50" s="32" t="str">
        <f aca="false" t="array" ref="K50:K50">_xlfn.IFS(J50&gt;299,"High HP",J50&gt;99,"Medium HP",J50&lt;100,"Low HP")</f>
        <v>Medium HP</v>
      </c>
      <c r="L50" s="32" t="s">
        <v>42</v>
      </c>
      <c r="M50" s="32" t="n">
        <v>30</v>
      </c>
      <c r="N50" s="32" t="n">
        <v>103</v>
      </c>
      <c r="O50" s="32" t="n">
        <v>66.9</v>
      </c>
      <c r="P50" s="32" t="n">
        <v>174.8</v>
      </c>
      <c r="Q50" s="32" t="n">
        <v>2.564</v>
      </c>
      <c r="R50" s="32" t="n">
        <v>13.2</v>
      </c>
      <c r="S50" s="33" t="n">
        <v>41112</v>
      </c>
    </row>
    <row r="51" customFormat="false" ht="16.15" hidden="true" customHeight="false" outlineLevel="0" collapsed="false">
      <c r="A51" s="27" t="s">
        <v>94</v>
      </c>
      <c r="B51" s="28" t="s">
        <v>100</v>
      </c>
      <c r="C51" s="32" t="n">
        <v>80.49953671</v>
      </c>
      <c r="D51" s="29" t="n">
        <v>63403</v>
      </c>
      <c r="E51" s="30" t="n">
        <v>22195</v>
      </c>
      <c r="F51" s="30" t="n">
        <v>14210</v>
      </c>
      <c r="G51" s="31" t="n">
        <f aca="false">SUM(F51/E51)</f>
        <v>0.640234287001577</v>
      </c>
      <c r="H51" s="31" t="str">
        <f aca="false">IF(G51&gt;69%, "GOOD", "POOR")</f>
        <v>POOR</v>
      </c>
      <c r="I51" s="32" t="n">
        <v>4.6</v>
      </c>
      <c r="J51" s="32" t="n">
        <v>200</v>
      </c>
      <c r="K51" s="32" t="str">
        <f aca="false" t="array" ref="K51:K51">_xlfn.IFS(J51&gt;299,"High HP",J51&gt;99,"Medium HP",J51&lt;100,"Low HP")</f>
        <v>Medium HP</v>
      </c>
      <c r="L51" s="32" t="s">
        <v>42</v>
      </c>
      <c r="M51" s="32" t="n">
        <v>21</v>
      </c>
      <c r="N51" s="32" t="n">
        <v>114.7</v>
      </c>
      <c r="O51" s="32" t="n">
        <v>78.2</v>
      </c>
      <c r="P51" s="32" t="n">
        <v>212</v>
      </c>
      <c r="Q51" s="32" t="n">
        <v>3.908</v>
      </c>
      <c r="R51" s="32" t="n">
        <v>19</v>
      </c>
      <c r="S51" s="33" t="n">
        <v>40812</v>
      </c>
    </row>
    <row r="52" customFormat="false" ht="16.15" hidden="true" customHeight="false" outlineLevel="0" collapsed="false">
      <c r="A52" s="27" t="s">
        <v>94</v>
      </c>
      <c r="B52" s="28" t="s">
        <v>101</v>
      </c>
      <c r="C52" s="32" t="n">
        <v>87.63549578</v>
      </c>
      <c r="D52" s="29" t="n">
        <v>276747</v>
      </c>
      <c r="E52" s="30" t="n">
        <v>31930</v>
      </c>
      <c r="F52" s="30" t="n">
        <v>16640</v>
      </c>
      <c r="G52" s="31" t="n">
        <f aca="false">SUM(F52/E52)</f>
        <v>0.521139993736298</v>
      </c>
      <c r="H52" s="31" t="str">
        <f aca="false">IF(G52&gt;69%, "GOOD", "POOR")</f>
        <v>POOR</v>
      </c>
      <c r="I52" s="32" t="n">
        <v>4</v>
      </c>
      <c r="J52" s="32" t="n">
        <v>210</v>
      </c>
      <c r="K52" s="32" t="str">
        <f aca="false" t="array" ref="K52:K52">_xlfn.IFS(J52&gt;299,"High HP",J52&gt;99,"Medium HP",J52&lt;100,"Low HP")</f>
        <v>Medium HP</v>
      </c>
      <c r="L52" s="32" t="s">
        <v>64</v>
      </c>
      <c r="M52" s="32" t="n">
        <v>19</v>
      </c>
      <c r="N52" s="32" t="n">
        <v>111.6</v>
      </c>
      <c r="O52" s="32" t="n">
        <v>70.2</v>
      </c>
      <c r="P52" s="32" t="n">
        <v>190.7</v>
      </c>
      <c r="Q52" s="32" t="n">
        <v>3.876</v>
      </c>
      <c r="R52" s="32" t="n">
        <v>21</v>
      </c>
      <c r="S52" s="33" t="n">
        <v>41024</v>
      </c>
    </row>
    <row r="53" customFormat="false" ht="16.15" hidden="true" customHeight="false" outlineLevel="0" collapsed="false">
      <c r="A53" s="27" t="s">
        <v>94</v>
      </c>
      <c r="B53" s="28" t="s">
        <v>102</v>
      </c>
      <c r="C53" s="32" t="n">
        <v>62.09504839</v>
      </c>
      <c r="D53" s="29" t="n">
        <v>155787</v>
      </c>
      <c r="E53" s="30" t="n">
        <v>21410</v>
      </c>
      <c r="F53" s="30" t="n">
        <v>13175</v>
      </c>
      <c r="G53" s="31" t="n">
        <f aca="false">SUM(F53/E53)</f>
        <v>0.615366651097618</v>
      </c>
      <c r="H53" s="31" t="str">
        <f aca="false">IF(G53&gt;69%, "GOOD", "POOR")</f>
        <v>POOR</v>
      </c>
      <c r="I53" s="32" t="n">
        <v>3</v>
      </c>
      <c r="J53" s="32" t="n">
        <v>150</v>
      </c>
      <c r="K53" s="32" t="str">
        <f aca="false" t="array" ref="K53:K53">_xlfn.IFS(J53&gt;299,"High HP",J53&gt;99,"Medium HP",J53&lt;100,"Low HP")</f>
        <v>Medium HP</v>
      </c>
      <c r="L53" s="32" t="s">
        <v>64</v>
      </c>
      <c r="M53" s="32" t="n">
        <v>21</v>
      </c>
      <c r="N53" s="32" t="n">
        <v>120.7</v>
      </c>
      <c r="O53" s="32" t="n">
        <v>76.6</v>
      </c>
      <c r="P53" s="32" t="n">
        <v>200.9</v>
      </c>
      <c r="Q53" s="32" t="n">
        <v>3.761</v>
      </c>
      <c r="R53" s="32" t="n">
        <v>26</v>
      </c>
      <c r="S53" s="33" t="n">
        <v>40964</v>
      </c>
    </row>
    <row r="54" customFormat="false" ht="16.15" hidden="true" customHeight="false" outlineLevel="0" collapsed="false">
      <c r="A54" s="27" t="s">
        <v>94</v>
      </c>
      <c r="B54" s="28" t="s">
        <v>103</v>
      </c>
      <c r="C54" s="32" t="n">
        <v>100.0248023</v>
      </c>
      <c r="D54" s="29" t="n">
        <v>125338</v>
      </c>
      <c r="E54" s="30" t="n">
        <v>36135</v>
      </c>
      <c r="F54" s="30" t="n">
        <v>23575</v>
      </c>
      <c r="G54" s="31" t="n">
        <f aca="false">SUM(F54/E54)</f>
        <v>0.652414556524146</v>
      </c>
      <c r="H54" s="31" t="str">
        <f aca="false">IF(G54&gt;69%, "GOOD", "POOR")</f>
        <v>POOR</v>
      </c>
      <c r="I54" s="32" t="n">
        <v>4.6</v>
      </c>
      <c r="J54" s="32" t="n">
        <v>240</v>
      </c>
      <c r="K54" s="32" t="str">
        <f aca="false" t="array" ref="K54:K54">_xlfn.IFS(J54&gt;299,"High HP",J54&gt;99,"Medium HP",J54&lt;100,"Low HP")</f>
        <v>Medium HP</v>
      </c>
      <c r="L54" s="32" t="s">
        <v>64</v>
      </c>
      <c r="M54" s="32" t="n">
        <v>16</v>
      </c>
      <c r="N54" s="32" t="n">
        <v>119</v>
      </c>
      <c r="O54" s="32" t="n">
        <v>78.7</v>
      </c>
      <c r="P54" s="32" t="n">
        <v>204.6</v>
      </c>
      <c r="Q54" s="32" t="n">
        <v>4.808</v>
      </c>
      <c r="R54" s="32" t="n">
        <v>26</v>
      </c>
      <c r="S54" s="33" t="n">
        <v>41166</v>
      </c>
    </row>
    <row r="55" customFormat="false" ht="16.15" hidden="true" customHeight="false" outlineLevel="0" collapsed="false">
      <c r="A55" s="27" t="s">
        <v>94</v>
      </c>
      <c r="B55" s="28" t="s">
        <v>104</v>
      </c>
      <c r="C55" s="32" t="n">
        <v>47.38953131</v>
      </c>
      <c r="D55" s="29" t="n">
        <v>220650</v>
      </c>
      <c r="E55" s="30" t="n">
        <v>12050</v>
      </c>
      <c r="F55" s="30" t="n">
        <v>7850</v>
      </c>
      <c r="G55" s="31" t="n">
        <f aca="false">SUM(F55/E55)</f>
        <v>0.651452282157676</v>
      </c>
      <c r="H55" s="31" t="str">
        <f aca="false">IF(G55&gt;69%, "GOOD", "POOR")</f>
        <v>POOR</v>
      </c>
      <c r="I55" s="32" t="n">
        <v>2.5</v>
      </c>
      <c r="J55" s="32" t="n">
        <v>119</v>
      </c>
      <c r="K55" s="32" t="str">
        <f aca="false" t="array" ref="K55:K55">_xlfn.IFS(J55&gt;299,"High HP",J55&gt;99,"Medium HP",J55&lt;100,"Low HP")</f>
        <v>Medium HP</v>
      </c>
      <c r="L55" s="32" t="s">
        <v>64</v>
      </c>
      <c r="M55" s="32" t="n">
        <v>23</v>
      </c>
      <c r="N55" s="32" t="n">
        <v>117.5</v>
      </c>
      <c r="O55" s="32" t="n">
        <v>69.4</v>
      </c>
      <c r="P55" s="32" t="n">
        <v>200.7</v>
      </c>
      <c r="Q55" s="32" t="n">
        <v>3.086</v>
      </c>
      <c r="R55" s="32" t="n">
        <v>20</v>
      </c>
      <c r="S55" s="33" t="n">
        <v>40922</v>
      </c>
    </row>
    <row r="56" customFormat="false" ht="16.15" hidden="true" customHeight="false" outlineLevel="0" collapsed="false">
      <c r="A56" s="27" t="s">
        <v>94</v>
      </c>
      <c r="B56" s="28" t="s">
        <v>105</v>
      </c>
      <c r="C56" s="32" t="n">
        <v>89.40193473</v>
      </c>
      <c r="D56" s="29" t="n">
        <v>540561</v>
      </c>
      <c r="E56" s="30" t="n">
        <v>26935</v>
      </c>
      <c r="F56" s="30" t="n">
        <v>15075</v>
      </c>
      <c r="G56" s="31" t="n">
        <f aca="false">SUM(F56/E56)</f>
        <v>0.559680712827177</v>
      </c>
      <c r="H56" s="31" t="str">
        <f aca="false">IF(G56&gt;69%, "GOOD", "POOR")</f>
        <v>POOR</v>
      </c>
      <c r="I56" s="32" t="n">
        <v>4.6</v>
      </c>
      <c r="J56" s="32" t="n">
        <v>220</v>
      </c>
      <c r="K56" s="32" t="str">
        <f aca="false" t="array" ref="K56:K56">_xlfn.IFS(J56&gt;299,"High HP",J56&gt;99,"Medium HP",J56&lt;100,"Low HP")</f>
        <v>Medium HP</v>
      </c>
      <c r="L56" s="32" t="s">
        <v>64</v>
      </c>
      <c r="M56" s="32" t="n">
        <v>18</v>
      </c>
      <c r="N56" s="32" t="n">
        <v>138.5</v>
      </c>
      <c r="O56" s="32" t="n">
        <v>79.1</v>
      </c>
      <c r="P56" s="32" t="n">
        <v>224.5</v>
      </c>
      <c r="Q56" s="32" t="n">
        <v>4.241</v>
      </c>
      <c r="R56" s="32" t="n">
        <v>25.1</v>
      </c>
      <c r="S56" s="33" t="n">
        <v>41137</v>
      </c>
    </row>
    <row r="57" customFormat="false" ht="16.15" hidden="true" customHeight="false" outlineLevel="0" collapsed="false">
      <c r="A57" s="27" t="s">
        <v>3</v>
      </c>
      <c r="B57" s="28" t="s">
        <v>106</v>
      </c>
      <c r="C57" s="32" t="n">
        <v>42.87909734</v>
      </c>
      <c r="D57" s="29" t="n">
        <v>199685</v>
      </c>
      <c r="E57" s="30" t="n">
        <v>12885</v>
      </c>
      <c r="F57" s="30" t="n">
        <v>9850</v>
      </c>
      <c r="G57" s="31" t="n">
        <f aca="false">SUM(F57/E57)</f>
        <v>0.764454792394257</v>
      </c>
      <c r="H57" s="31" t="str">
        <f aca="false">IF(G57&gt;69%, "GOOD", "POOR")</f>
        <v>GOOD</v>
      </c>
      <c r="I57" s="32" t="n">
        <v>1.6</v>
      </c>
      <c r="J57" s="32" t="n">
        <v>106</v>
      </c>
      <c r="K57" s="32" t="str">
        <f aca="false" t="array" ref="K57:K57">_xlfn.IFS(J57&gt;299,"High HP",J57&gt;99,"Medium HP",J57&lt;100,"Low HP")</f>
        <v>Medium HP</v>
      </c>
      <c r="L57" s="32" t="s">
        <v>42</v>
      </c>
      <c r="M57" s="32" t="n">
        <v>32</v>
      </c>
      <c r="N57" s="32" t="n">
        <v>103.2</v>
      </c>
      <c r="O57" s="32" t="n">
        <v>67.1</v>
      </c>
      <c r="P57" s="32" t="n">
        <v>175.1</v>
      </c>
      <c r="Q57" s="32" t="n">
        <v>2.339</v>
      </c>
      <c r="R57" s="32" t="n">
        <v>11.9</v>
      </c>
      <c r="S57" s="33" t="n">
        <v>40837</v>
      </c>
    </row>
    <row r="58" customFormat="false" ht="16.15" hidden="true" customHeight="false" outlineLevel="0" collapsed="false">
      <c r="A58" s="27" t="s">
        <v>3</v>
      </c>
      <c r="B58" s="28" t="s">
        <v>107</v>
      </c>
      <c r="C58" s="32" t="n">
        <v>54.26954829</v>
      </c>
      <c r="D58" s="29" t="n">
        <v>230902</v>
      </c>
      <c r="E58" s="30" t="n">
        <v>15350</v>
      </c>
      <c r="F58" s="30" t="n">
        <v>13210</v>
      </c>
      <c r="G58" s="31" t="n">
        <f aca="false">SUM(F58/E58)</f>
        <v>0.860586319218241</v>
      </c>
      <c r="H58" s="31" t="str">
        <f aca="false">IF(G58&gt;69%, "GOOD", "POOR")</f>
        <v>GOOD</v>
      </c>
      <c r="I58" s="32" t="n">
        <v>2.3</v>
      </c>
      <c r="J58" s="32" t="n">
        <v>135</v>
      </c>
      <c r="K58" s="32" t="str">
        <f aca="false" t="array" ref="K58:K58">_xlfn.IFS(J58&gt;299,"High HP",J58&gt;99,"Medium HP",J58&lt;100,"Low HP")</f>
        <v>Medium HP</v>
      </c>
      <c r="L58" s="32" t="s">
        <v>42</v>
      </c>
      <c r="M58" s="32" t="n">
        <v>27</v>
      </c>
      <c r="N58" s="32" t="n">
        <v>106.9</v>
      </c>
      <c r="O58" s="32" t="n">
        <v>70.3</v>
      </c>
      <c r="P58" s="32" t="n">
        <v>188.8</v>
      </c>
      <c r="Q58" s="32" t="n">
        <v>2.932</v>
      </c>
      <c r="R58" s="32" t="n">
        <v>17.1</v>
      </c>
      <c r="S58" s="33" t="n">
        <v>41049</v>
      </c>
    </row>
    <row r="59" customFormat="false" ht="16.15" hidden="true" customHeight="false" outlineLevel="0" collapsed="false">
      <c r="A59" s="27" t="s">
        <v>3</v>
      </c>
      <c r="B59" s="28" t="s">
        <v>108</v>
      </c>
      <c r="C59" s="32" t="n">
        <v>60.08796662</v>
      </c>
      <c r="D59" s="29" t="n">
        <v>73203</v>
      </c>
      <c r="E59" s="30" t="n">
        <v>20550</v>
      </c>
      <c r="F59" s="30" t="n">
        <v>17710</v>
      </c>
      <c r="G59" s="31" t="n">
        <f aca="false">SUM(F59/E59)</f>
        <v>0.861800486618005</v>
      </c>
      <c r="H59" s="31" t="str">
        <f aca="false">IF(G59&gt;69%, "GOOD", "POOR")</f>
        <v>GOOD</v>
      </c>
      <c r="I59" s="32" t="n">
        <v>2</v>
      </c>
      <c r="J59" s="32" t="n">
        <v>146</v>
      </c>
      <c r="K59" s="32" t="str">
        <f aca="false" t="array" ref="K59:K59">_xlfn.IFS(J59&gt;299,"High HP",J59&gt;99,"Medium HP",J59&lt;100,"Low HP")</f>
        <v>Medium HP</v>
      </c>
      <c r="L59" s="32" t="s">
        <v>64</v>
      </c>
      <c r="M59" s="32" t="n">
        <v>24</v>
      </c>
      <c r="N59" s="32" t="n">
        <v>103.2</v>
      </c>
      <c r="O59" s="32" t="n">
        <v>68.9</v>
      </c>
      <c r="P59" s="32" t="n">
        <v>177.6</v>
      </c>
      <c r="Q59" s="32" t="n">
        <v>3.219</v>
      </c>
      <c r="R59" s="32" t="n">
        <v>15.3</v>
      </c>
      <c r="S59" s="33" t="n">
        <v>40989</v>
      </c>
    </row>
    <row r="60" customFormat="false" ht="16.15" hidden="true" customHeight="false" outlineLevel="0" collapsed="false">
      <c r="A60" s="27" t="s">
        <v>3</v>
      </c>
      <c r="B60" s="28" t="s">
        <v>109</v>
      </c>
      <c r="C60" s="32" t="n">
        <v>83.6025008</v>
      </c>
      <c r="D60" s="29" t="n">
        <v>12855</v>
      </c>
      <c r="E60" s="30" t="n">
        <v>26600</v>
      </c>
      <c r="F60" s="30" t="n">
        <v>17525</v>
      </c>
      <c r="G60" s="31" t="n">
        <f aca="false">SUM(F60/E60)</f>
        <v>0.658834586466165</v>
      </c>
      <c r="H60" s="31" t="str">
        <f aca="false">IF(G60&gt;69%, "GOOD", "POOR")</f>
        <v>POOR</v>
      </c>
      <c r="I60" s="32" t="n">
        <v>3.2</v>
      </c>
      <c r="J60" s="32" t="n">
        <v>205</v>
      </c>
      <c r="K60" s="32" t="str">
        <f aca="false" t="array" ref="K60:K60">_xlfn.IFS(J60&gt;299,"High HP",J60&gt;99,"Medium HP",J60&lt;100,"Low HP")</f>
        <v>Medium HP</v>
      </c>
      <c r="L60" s="32" t="s">
        <v>64</v>
      </c>
      <c r="M60" s="32" t="n">
        <v>19</v>
      </c>
      <c r="N60" s="32" t="n">
        <v>106.4</v>
      </c>
      <c r="O60" s="32" t="n">
        <v>70.4</v>
      </c>
      <c r="P60" s="32" t="n">
        <v>178.2</v>
      </c>
      <c r="Q60" s="32" t="n">
        <v>3.857</v>
      </c>
      <c r="R60" s="32" t="n">
        <v>21.1</v>
      </c>
      <c r="S60" s="33" t="n">
        <v>41191</v>
      </c>
    </row>
    <row r="61" customFormat="false" ht="16.15" hidden="true" customHeight="false" outlineLevel="0" collapsed="false">
      <c r="A61" s="27" t="s">
        <v>3</v>
      </c>
      <c r="B61" s="28" t="s">
        <v>110</v>
      </c>
      <c r="C61" s="32" t="n">
        <v>85.21769134</v>
      </c>
      <c r="D61" s="29" t="n">
        <v>76029</v>
      </c>
      <c r="E61" s="30" t="n">
        <v>26000</v>
      </c>
      <c r="F61" s="30" t="n">
        <v>19490</v>
      </c>
      <c r="G61" s="31" t="n">
        <f aca="false">SUM(F61/E61)</f>
        <v>0.749615384615385</v>
      </c>
      <c r="H61" s="31" t="str">
        <f aca="false">IF(G61&gt;69%, "GOOD", "POOR")</f>
        <v>GOOD</v>
      </c>
      <c r="I61" s="32" t="n">
        <v>3.5</v>
      </c>
      <c r="J61" s="32" t="n">
        <v>210</v>
      </c>
      <c r="K61" s="32" t="str">
        <f aca="false" t="array" ref="K61:K61">_xlfn.IFS(J61&gt;299,"High HP",J61&gt;99,"Medium HP",J61&lt;100,"Low HP")</f>
        <v>Medium HP</v>
      </c>
      <c r="L61" s="32" t="s">
        <v>64</v>
      </c>
      <c r="M61" s="32" t="n">
        <v>23</v>
      </c>
      <c r="N61" s="32" t="n">
        <v>118.1</v>
      </c>
      <c r="O61" s="32" t="n">
        <v>75.6</v>
      </c>
      <c r="P61" s="32" t="n">
        <v>201.2</v>
      </c>
      <c r="Q61" s="32" t="n">
        <v>4.288</v>
      </c>
      <c r="R61" s="32" t="n">
        <v>20</v>
      </c>
      <c r="S61" s="33" t="n">
        <v>40947</v>
      </c>
    </row>
    <row r="62" customFormat="false" ht="16.15" hidden="true" customHeight="false" outlineLevel="0" collapsed="false">
      <c r="A62" s="27" t="s">
        <v>111</v>
      </c>
      <c r="B62" s="28" t="s">
        <v>112</v>
      </c>
      <c r="C62" s="32" t="n">
        <v>36.67228358</v>
      </c>
      <c r="D62" s="29" t="n">
        <v>41184</v>
      </c>
      <c r="E62" s="30" t="n">
        <v>9699</v>
      </c>
      <c r="F62" s="30" t="n">
        <v>5860</v>
      </c>
      <c r="G62" s="31" t="n">
        <f aca="false">SUM(F62/E62)</f>
        <v>0.604185998556552</v>
      </c>
      <c r="H62" s="31" t="str">
        <f aca="false">IF(G62&gt;69%, "GOOD", "POOR")</f>
        <v>POOR</v>
      </c>
      <c r="I62" s="32" t="n">
        <v>1.5</v>
      </c>
      <c r="J62" s="32" t="n">
        <v>92</v>
      </c>
      <c r="K62" s="32" t="str">
        <f aca="false" t="array" ref="K62:K62">_xlfn.IFS(J62&gt;299,"High HP",J62&gt;99,"Medium HP",J62&lt;100,"Low HP")</f>
        <v>Low HP</v>
      </c>
      <c r="L62" s="32" t="s">
        <v>42</v>
      </c>
      <c r="M62" s="32" t="n">
        <v>31</v>
      </c>
      <c r="N62" s="32" t="n">
        <v>96.1</v>
      </c>
      <c r="O62" s="32" t="n">
        <v>65.7</v>
      </c>
      <c r="P62" s="32" t="n">
        <v>166.7</v>
      </c>
      <c r="Q62" s="32" t="n">
        <v>2.24</v>
      </c>
      <c r="R62" s="32" t="n">
        <v>11.9</v>
      </c>
      <c r="S62" s="33" t="n">
        <v>41162</v>
      </c>
    </row>
    <row r="63" customFormat="false" ht="16.15" hidden="true" customHeight="false" outlineLevel="0" collapsed="false">
      <c r="A63" s="27" t="s">
        <v>111</v>
      </c>
      <c r="B63" s="28" t="s">
        <v>113</v>
      </c>
      <c r="C63" s="32" t="n">
        <v>54.59004516</v>
      </c>
      <c r="D63" s="29" t="n">
        <v>66692</v>
      </c>
      <c r="E63" s="30" t="n">
        <v>11799</v>
      </c>
      <c r="F63" s="30" t="n">
        <v>7825</v>
      </c>
      <c r="G63" s="31" t="n">
        <f aca="false">SUM(F63/E63)</f>
        <v>0.663191795914908</v>
      </c>
      <c r="H63" s="31" t="str">
        <f aca="false">IF(G63&gt;69%, "GOOD", "POOR")</f>
        <v>POOR</v>
      </c>
      <c r="I63" s="32" t="n">
        <v>2</v>
      </c>
      <c r="J63" s="32" t="n">
        <v>140</v>
      </c>
      <c r="K63" s="32" t="str">
        <f aca="false" t="array" ref="K63:K63">_xlfn.IFS(J63&gt;299,"High HP",J63&gt;99,"Medium HP",J63&lt;100,"Low HP")</f>
        <v>Medium HP</v>
      </c>
      <c r="L63" s="32" t="s">
        <v>42</v>
      </c>
      <c r="M63" s="32" t="n">
        <v>27</v>
      </c>
      <c r="N63" s="32" t="n">
        <v>100.4</v>
      </c>
      <c r="O63" s="32" t="n">
        <v>66.9</v>
      </c>
      <c r="P63" s="32" t="n">
        <v>174</v>
      </c>
      <c r="Q63" s="32" t="n">
        <v>2.626</v>
      </c>
      <c r="R63" s="32" t="n">
        <v>14.5</v>
      </c>
      <c r="S63" s="33" t="n">
        <v>40862</v>
      </c>
    </row>
    <row r="64" customFormat="false" ht="16.15" hidden="true" customHeight="false" outlineLevel="0" collapsed="false">
      <c r="A64" s="27" t="s">
        <v>111</v>
      </c>
      <c r="B64" s="28" t="s">
        <v>114</v>
      </c>
      <c r="C64" s="32" t="n">
        <v>58.758249</v>
      </c>
      <c r="D64" s="29" t="n">
        <v>29450</v>
      </c>
      <c r="E64" s="30" t="n">
        <v>14999</v>
      </c>
      <c r="F64" s="30" t="n">
        <v>8910</v>
      </c>
      <c r="G64" s="31" t="n">
        <f aca="false">SUM(F64/E64)</f>
        <v>0.594039602640176</v>
      </c>
      <c r="H64" s="31" t="str">
        <f aca="false">IF(G64&gt;69%, "GOOD", "POOR")</f>
        <v>POOR</v>
      </c>
      <c r="I64" s="32" t="n">
        <v>2.4</v>
      </c>
      <c r="J64" s="32" t="n">
        <v>148</v>
      </c>
      <c r="K64" s="32" t="str">
        <f aca="false" t="array" ref="K64:K64">_xlfn.IFS(J64&gt;299,"High HP",J64&gt;99,"Medium HP",J64&lt;100,"Low HP")</f>
        <v>Medium HP</v>
      </c>
      <c r="L64" s="32" t="s">
        <v>42</v>
      </c>
      <c r="M64" s="32" t="n">
        <v>25</v>
      </c>
      <c r="N64" s="32" t="n">
        <v>106.3</v>
      </c>
      <c r="O64" s="32" t="n">
        <v>71.6</v>
      </c>
      <c r="P64" s="32" t="n">
        <v>185.4</v>
      </c>
      <c r="Q64" s="32" t="n">
        <v>3.072</v>
      </c>
      <c r="R64" s="32" t="n">
        <v>17.2</v>
      </c>
      <c r="S64" s="33" t="n">
        <v>41074</v>
      </c>
    </row>
    <row r="65" customFormat="false" ht="16.15" hidden="true" customHeight="false" outlineLevel="0" collapsed="false">
      <c r="A65" s="27" t="s">
        <v>4</v>
      </c>
      <c r="B65" s="28" t="s">
        <v>115</v>
      </c>
      <c r="C65" s="32" t="n">
        <v>92.43688923</v>
      </c>
      <c r="D65" s="29" t="n">
        <v>23713</v>
      </c>
      <c r="E65" s="30" t="n">
        <v>29465</v>
      </c>
      <c r="F65" s="30" t="n">
        <v>19690</v>
      </c>
      <c r="G65" s="31" t="n">
        <f aca="false">SUM(F65/E65)</f>
        <v>0.668250466655354</v>
      </c>
      <c r="H65" s="31" t="str">
        <f aca="false">IF(G65&gt;69%, "GOOD", "POOR")</f>
        <v>POOR</v>
      </c>
      <c r="I65" s="32" t="n">
        <v>3</v>
      </c>
      <c r="J65" s="32" t="n">
        <v>227</v>
      </c>
      <c r="K65" s="32" t="str">
        <f aca="false" t="array" ref="K65:K65">_xlfn.IFS(J65&gt;299,"High HP",J65&gt;99,"Medium HP",J65&lt;100,"Low HP")</f>
        <v>Medium HP</v>
      </c>
      <c r="L65" s="32" t="s">
        <v>42</v>
      </c>
      <c r="M65" s="32" t="n">
        <v>25</v>
      </c>
      <c r="N65" s="32" t="n">
        <v>108.3</v>
      </c>
      <c r="O65" s="32" t="n">
        <v>70.2</v>
      </c>
      <c r="P65" s="32" t="n">
        <v>193.7</v>
      </c>
      <c r="Q65" s="32" t="n">
        <v>3.342</v>
      </c>
      <c r="R65" s="32" t="n">
        <v>18.5</v>
      </c>
      <c r="S65" s="33" t="n">
        <v>41014</v>
      </c>
    </row>
    <row r="66" customFormat="false" ht="16.15" hidden="true" customHeight="false" outlineLevel="0" collapsed="false">
      <c r="A66" s="27" t="s">
        <v>116</v>
      </c>
      <c r="B66" s="28" t="s">
        <v>117</v>
      </c>
      <c r="C66" s="32" t="n">
        <v>102.1789848</v>
      </c>
      <c r="D66" s="29" t="n">
        <v>15467</v>
      </c>
      <c r="E66" s="30" t="n">
        <v>42800</v>
      </c>
      <c r="F66" s="30" t="n">
        <v>33219</v>
      </c>
      <c r="G66" s="31" t="n">
        <f aca="false">SUM(F66/E66)</f>
        <v>0.776144859813084</v>
      </c>
      <c r="H66" s="31" t="str">
        <f aca="false">IF(G66&gt;69%, "GOOD", "POOR")</f>
        <v>GOOD</v>
      </c>
      <c r="I66" s="32" t="n">
        <v>3</v>
      </c>
      <c r="J66" s="32" t="n">
        <v>240</v>
      </c>
      <c r="K66" s="32" t="str">
        <f aca="false" t="array" ref="K66:K66">_xlfn.IFS(J66&gt;299,"High HP",J66&gt;99,"Medium HP",J66&lt;100,"Low HP")</f>
        <v>Medium HP</v>
      </c>
      <c r="L66" s="32" t="s">
        <v>42</v>
      </c>
      <c r="M66" s="32" t="n">
        <v>21</v>
      </c>
      <c r="N66" s="32" t="n">
        <v>114.5</v>
      </c>
      <c r="O66" s="32" t="n">
        <v>71.6</v>
      </c>
      <c r="P66" s="32" t="n">
        <v>191.3</v>
      </c>
      <c r="Q66" s="32" t="n">
        <v>3.65</v>
      </c>
      <c r="R66" s="32" t="n">
        <v>18.4</v>
      </c>
      <c r="S66" s="33" t="n">
        <v>41216</v>
      </c>
    </row>
    <row r="67" customFormat="false" ht="16.15" hidden="true" customHeight="false" outlineLevel="0" collapsed="false">
      <c r="A67" s="27" t="s">
        <v>118</v>
      </c>
      <c r="B67" s="28" t="s">
        <v>119</v>
      </c>
      <c r="C67" s="32" t="n">
        <v>48.67289791</v>
      </c>
      <c r="D67" s="29" t="n">
        <v>55557</v>
      </c>
      <c r="E67" s="30" t="n">
        <v>14460</v>
      </c>
      <c r="F67" s="30" t="n">
        <v>13475</v>
      </c>
      <c r="G67" s="31" t="n">
        <f aca="false">SUM(F67/E67)</f>
        <v>0.931881051175657</v>
      </c>
      <c r="H67" s="31" t="str">
        <f aca="false">IF(G67&gt;69%, "GOOD", "POOR")</f>
        <v>GOOD</v>
      </c>
      <c r="I67" s="32" t="n">
        <v>2.5</v>
      </c>
      <c r="J67" s="32" t="n">
        <v>120</v>
      </c>
      <c r="K67" s="32" t="str">
        <f aca="false" t="array" ref="K67:K67">_xlfn.IFS(J67&gt;299,"High HP",J67&gt;99,"Medium HP",J67&lt;100,"Low HP")</f>
        <v>Medium HP</v>
      </c>
      <c r="L67" s="32" t="s">
        <v>64</v>
      </c>
      <c r="M67" s="32" t="n">
        <v>17</v>
      </c>
      <c r="N67" s="32" t="n">
        <v>93.4</v>
      </c>
      <c r="O67" s="32" t="n">
        <v>66.7</v>
      </c>
      <c r="P67" s="32" t="n">
        <v>152</v>
      </c>
      <c r="Q67" s="32" t="n">
        <v>3.045</v>
      </c>
      <c r="R67" s="32" t="n">
        <v>19</v>
      </c>
      <c r="S67" s="33" t="n">
        <v>40972</v>
      </c>
    </row>
    <row r="68" customFormat="false" ht="16.15" hidden="true" customHeight="false" outlineLevel="0" collapsed="false">
      <c r="A68" s="27" t="s">
        <v>118</v>
      </c>
      <c r="B68" s="28" t="s">
        <v>120</v>
      </c>
      <c r="C68" s="32" t="n">
        <v>76.58443962</v>
      </c>
      <c r="D68" s="29" t="n">
        <v>80556</v>
      </c>
      <c r="E68" s="30" t="n">
        <v>21620</v>
      </c>
      <c r="F68" s="30" t="n">
        <v>13775</v>
      </c>
      <c r="G68" s="31" t="n">
        <f aca="false">SUM(F68/E68)</f>
        <v>0.637141535615171</v>
      </c>
      <c r="H68" s="31" t="str">
        <f aca="false">IF(G68&gt;69%, "GOOD", "POOR")</f>
        <v>POOR</v>
      </c>
      <c r="I68" s="32" t="n">
        <v>4</v>
      </c>
      <c r="J68" s="32" t="n">
        <v>190</v>
      </c>
      <c r="K68" s="32" t="str">
        <f aca="false" t="array" ref="K68:K68">_xlfn.IFS(J68&gt;299,"High HP",J68&gt;99,"Medium HP",J68&lt;100,"Low HP")</f>
        <v>Medium HP</v>
      </c>
      <c r="L68" s="32" t="s">
        <v>64</v>
      </c>
      <c r="M68" s="32" t="n">
        <v>20</v>
      </c>
      <c r="N68" s="32" t="n">
        <v>101.4</v>
      </c>
      <c r="O68" s="32" t="n">
        <v>69.4</v>
      </c>
      <c r="P68" s="32" t="n">
        <v>167.5</v>
      </c>
      <c r="Q68" s="32" t="n">
        <v>3.194</v>
      </c>
      <c r="R68" s="32" t="n">
        <v>20</v>
      </c>
      <c r="S68" s="33" t="n">
        <v>41187</v>
      </c>
    </row>
    <row r="69" customFormat="false" ht="16.15" hidden="true" customHeight="false" outlineLevel="0" collapsed="false">
      <c r="A69" s="27" t="s">
        <v>118</v>
      </c>
      <c r="B69" s="28" t="s">
        <v>121</v>
      </c>
      <c r="C69" s="32" t="n">
        <v>80.38777912</v>
      </c>
      <c r="D69" s="29" t="n">
        <v>157040</v>
      </c>
      <c r="E69" s="30" t="n">
        <v>26895</v>
      </c>
      <c r="F69" s="30" t="n">
        <v>18810</v>
      </c>
      <c r="G69" s="31" t="n">
        <f aca="false">SUM(F69/E69)</f>
        <v>0.699386503067485</v>
      </c>
      <c r="H69" s="31" t="str">
        <f aca="false">IF(G69&gt;69%, "GOOD", "POOR")</f>
        <v>GOOD</v>
      </c>
      <c r="I69" s="32" t="n">
        <v>4</v>
      </c>
      <c r="J69" s="32" t="n">
        <v>195</v>
      </c>
      <c r="K69" s="32" t="str">
        <f aca="false" t="array" ref="K69:K69">_xlfn.IFS(J69&gt;299,"High HP",J69&gt;99,"Medium HP",J69&lt;100,"Low HP")</f>
        <v>Medium HP</v>
      </c>
      <c r="L69" s="32" t="s">
        <v>64</v>
      </c>
      <c r="M69" s="32" t="n">
        <v>19</v>
      </c>
      <c r="N69" s="32" t="n">
        <v>105.9</v>
      </c>
      <c r="O69" s="32" t="n">
        <v>72.3</v>
      </c>
      <c r="P69" s="32" t="n">
        <v>181.5</v>
      </c>
      <c r="Q69" s="32" t="n">
        <v>3.88</v>
      </c>
      <c r="R69" s="32" t="n">
        <v>20.5</v>
      </c>
      <c r="S69" s="33" t="n">
        <v>40887</v>
      </c>
    </row>
    <row r="70" customFormat="false" ht="16.15" hidden="true" customHeight="false" outlineLevel="0" collapsed="false">
      <c r="A70" s="27" t="s">
        <v>5</v>
      </c>
      <c r="B70" s="28" t="s">
        <v>122</v>
      </c>
      <c r="C70" s="32" t="n">
        <v>87.21100104</v>
      </c>
      <c r="D70" s="29" t="n">
        <v>24072</v>
      </c>
      <c r="E70" s="30" t="n">
        <v>31505</v>
      </c>
      <c r="F70" s="30" t="n">
        <v>26975</v>
      </c>
      <c r="G70" s="31" t="n">
        <f aca="false">SUM(F70/E70)</f>
        <v>0.856213299476274</v>
      </c>
      <c r="H70" s="31" t="str">
        <f aca="false">IF(G70&gt;69%, "GOOD", "POOR")</f>
        <v>GOOD</v>
      </c>
      <c r="I70" s="32" t="n">
        <v>3</v>
      </c>
      <c r="J70" s="32" t="n">
        <v>210</v>
      </c>
      <c r="K70" s="32" t="str">
        <f aca="false" t="array" ref="K70:K70">_xlfn.IFS(J70&gt;299,"High HP",J70&gt;99,"Medium HP",J70&lt;100,"Low HP")</f>
        <v>Medium HP</v>
      </c>
      <c r="L70" s="32" t="s">
        <v>42</v>
      </c>
      <c r="M70" s="32" t="n">
        <v>23</v>
      </c>
      <c r="N70" s="32" t="n">
        <v>105.1</v>
      </c>
      <c r="O70" s="32" t="n">
        <v>70.5</v>
      </c>
      <c r="P70" s="32" t="n">
        <v>190.2</v>
      </c>
      <c r="Q70" s="32" t="n">
        <v>3.373</v>
      </c>
      <c r="R70" s="32" t="n">
        <v>18.5</v>
      </c>
      <c r="S70" s="33" t="n">
        <v>41099</v>
      </c>
    </row>
    <row r="71" customFormat="false" ht="16.15" hidden="true" customHeight="false" outlineLevel="0" collapsed="false">
      <c r="A71" s="27" t="s">
        <v>5</v>
      </c>
      <c r="B71" s="28" t="s">
        <v>123</v>
      </c>
      <c r="C71" s="32" t="n">
        <v>94.9466984</v>
      </c>
      <c r="D71" s="29" t="n">
        <v>12698</v>
      </c>
      <c r="E71" s="30" t="n">
        <v>37805</v>
      </c>
      <c r="F71" s="30" t="n">
        <v>32075</v>
      </c>
      <c r="G71" s="31" t="n">
        <f aca="false">SUM(F71/E71)</f>
        <v>0.848432746991139</v>
      </c>
      <c r="H71" s="31" t="str">
        <f aca="false">IF(G71&gt;69%, "GOOD", "POOR")</f>
        <v>GOOD</v>
      </c>
      <c r="I71" s="32" t="n">
        <v>3</v>
      </c>
      <c r="J71" s="32" t="n">
        <v>225</v>
      </c>
      <c r="K71" s="32" t="str">
        <f aca="false" t="array" ref="K71:K71">_xlfn.IFS(J71&gt;299,"High HP",J71&gt;99,"Medium HP",J71&lt;100,"Low HP")</f>
        <v>Medium HP</v>
      </c>
      <c r="L71" s="32" t="s">
        <v>42</v>
      </c>
      <c r="M71" s="32" t="n">
        <v>23</v>
      </c>
      <c r="N71" s="32" t="n">
        <v>110.2</v>
      </c>
      <c r="O71" s="32" t="n">
        <v>70.9</v>
      </c>
      <c r="P71" s="32" t="n">
        <v>189.2</v>
      </c>
      <c r="Q71" s="32" t="n">
        <v>3.638</v>
      </c>
      <c r="R71" s="32" t="n">
        <v>19.8</v>
      </c>
      <c r="S71" s="33" t="n">
        <v>41039</v>
      </c>
    </row>
    <row r="72" customFormat="false" ht="16.15" hidden="true" customHeight="false" outlineLevel="0" collapsed="false">
      <c r="A72" s="27" t="s">
        <v>5</v>
      </c>
      <c r="B72" s="28" t="s">
        <v>124</v>
      </c>
      <c r="C72" s="32" t="n">
        <v>125.0133574</v>
      </c>
      <c r="D72" s="29" t="n">
        <v>3334</v>
      </c>
      <c r="E72" s="30" t="n">
        <v>46305</v>
      </c>
      <c r="F72" s="30" t="n">
        <v>38955</v>
      </c>
      <c r="G72" s="31" t="n">
        <f aca="false">SUM(F72/E72)</f>
        <v>0.841269841269841</v>
      </c>
      <c r="H72" s="31" t="str">
        <f aca="false">IF(G72&gt;69%, "GOOD", "POOR")</f>
        <v>GOOD</v>
      </c>
      <c r="I72" s="32" t="n">
        <v>4</v>
      </c>
      <c r="J72" s="32" t="n">
        <v>300</v>
      </c>
      <c r="K72" s="32" t="str">
        <f aca="false" t="array" ref="K72:K72">_xlfn.IFS(J72&gt;299,"High HP",J72&gt;99,"Medium HP",J72&lt;100,"Low HP")</f>
        <v>High HP</v>
      </c>
      <c r="L72" s="32" t="s">
        <v>42</v>
      </c>
      <c r="M72" s="32" t="n">
        <v>21</v>
      </c>
      <c r="N72" s="32" t="n">
        <v>110.2</v>
      </c>
      <c r="O72" s="32" t="n">
        <v>70.9</v>
      </c>
      <c r="P72" s="32" t="n">
        <v>189.2</v>
      </c>
      <c r="Q72" s="32" t="n">
        <v>3.693</v>
      </c>
      <c r="R72" s="32" t="n">
        <v>19.8</v>
      </c>
      <c r="S72" s="33" t="n">
        <v>41241</v>
      </c>
    </row>
    <row r="73" customFormat="false" ht="16.15" hidden="true" customHeight="false" outlineLevel="0" collapsed="false">
      <c r="A73" s="27" t="s">
        <v>5</v>
      </c>
      <c r="B73" s="28" t="s">
        <v>125</v>
      </c>
      <c r="C73" s="32" t="n">
        <v>124.4467163</v>
      </c>
      <c r="D73" s="29" t="n">
        <v>6375</v>
      </c>
      <c r="E73" s="30" t="n">
        <v>54005</v>
      </c>
      <c r="F73" s="30" t="n">
        <v>40375</v>
      </c>
      <c r="G73" s="31" t="n">
        <f aca="false">SUM(F73/E73)</f>
        <v>0.747615961485048</v>
      </c>
      <c r="H73" s="31" t="str">
        <f aca="false">IF(G73&gt;69%, "GOOD", "POOR")</f>
        <v>GOOD</v>
      </c>
      <c r="I73" s="32" t="n">
        <v>4</v>
      </c>
      <c r="J73" s="32" t="n">
        <v>290</v>
      </c>
      <c r="K73" s="32" t="str">
        <f aca="false" t="array" ref="K73:K73">_xlfn.IFS(J73&gt;299,"High HP",J73&gt;99,"Medium HP",J73&lt;100,"Low HP")</f>
        <v>Medium HP</v>
      </c>
      <c r="L73" s="32" t="s">
        <v>42</v>
      </c>
      <c r="M73" s="32" t="n">
        <v>22</v>
      </c>
      <c r="N73" s="32" t="n">
        <v>112.2</v>
      </c>
      <c r="O73" s="32" t="n">
        <v>72</v>
      </c>
      <c r="P73" s="32" t="n">
        <v>196.7</v>
      </c>
      <c r="Q73" s="32" t="n">
        <v>3.89</v>
      </c>
      <c r="R73" s="32" t="n">
        <v>22.5</v>
      </c>
      <c r="S73" s="33" t="n">
        <v>40997</v>
      </c>
    </row>
    <row r="74" customFormat="false" ht="16.15" hidden="true" customHeight="false" outlineLevel="0" collapsed="false">
      <c r="A74" s="27" t="s">
        <v>5</v>
      </c>
      <c r="B74" s="28" t="s">
        <v>126</v>
      </c>
      <c r="C74" s="32" t="n">
        <v>105.760458</v>
      </c>
      <c r="D74" s="29" t="n">
        <v>9126</v>
      </c>
      <c r="E74" s="30" t="n">
        <v>60105</v>
      </c>
      <c r="F74" s="30" t="n">
        <v>43870</v>
      </c>
      <c r="G74" s="31" t="n">
        <f aca="false">SUM(F74/E74)</f>
        <v>0.729889360286166</v>
      </c>
      <c r="H74" s="31" t="str">
        <f aca="false">IF(G74&gt;69%, "GOOD", "POOR")</f>
        <v>GOOD</v>
      </c>
      <c r="I74" s="32" t="n">
        <v>4.7</v>
      </c>
      <c r="J74" s="32" t="n">
        <v>230</v>
      </c>
      <c r="K74" s="32" t="str">
        <f aca="false" t="array" ref="K74:K74">_xlfn.IFS(J74&gt;299,"High HP",J74&gt;99,"Medium HP",J74&lt;100,"Low HP")</f>
        <v>Medium HP</v>
      </c>
      <c r="L74" s="32" t="s">
        <v>64</v>
      </c>
      <c r="M74" s="32" t="n">
        <v>15</v>
      </c>
      <c r="N74" s="32" t="n">
        <v>112.2</v>
      </c>
      <c r="O74" s="32" t="n">
        <v>76.4</v>
      </c>
      <c r="P74" s="32" t="n">
        <v>192.5</v>
      </c>
      <c r="Q74" s="32" t="n">
        <v>5.401</v>
      </c>
      <c r="R74" s="32" t="n">
        <v>25.4</v>
      </c>
      <c r="S74" s="33" t="n">
        <v>41212</v>
      </c>
    </row>
    <row r="75" customFormat="false" ht="16.15" hidden="true" customHeight="false" outlineLevel="0" collapsed="false">
      <c r="A75" s="27" t="s">
        <v>5</v>
      </c>
      <c r="B75" s="28" t="s">
        <v>127</v>
      </c>
      <c r="C75" s="32" t="n">
        <v>91.94380156</v>
      </c>
      <c r="D75" s="29" t="n">
        <v>51238</v>
      </c>
      <c r="E75" s="30" t="n">
        <v>34605</v>
      </c>
      <c r="F75" s="30" t="n">
        <v>29140</v>
      </c>
      <c r="G75" s="31" t="n">
        <f aca="false">SUM(F75/E75)</f>
        <v>0.842074844675625</v>
      </c>
      <c r="H75" s="31" t="str">
        <f aca="false">IF(G75&gt;69%, "GOOD", "POOR")</f>
        <v>GOOD</v>
      </c>
      <c r="I75" s="32" t="n">
        <v>3</v>
      </c>
      <c r="J75" s="32" t="n">
        <v>220</v>
      </c>
      <c r="K75" s="32" t="str">
        <f aca="false" t="array" ref="K75:K75">_xlfn.IFS(J75&gt;299,"High HP",J75&gt;99,"Medium HP",J75&lt;100,"Low HP")</f>
        <v>Medium HP</v>
      </c>
      <c r="L75" s="32" t="s">
        <v>64</v>
      </c>
      <c r="M75" s="32" t="n">
        <v>21</v>
      </c>
      <c r="N75" s="32" t="n">
        <v>103</v>
      </c>
      <c r="O75" s="32" t="n">
        <v>71.5</v>
      </c>
      <c r="P75" s="32" t="n">
        <v>180.1</v>
      </c>
      <c r="Q75" s="32" t="n">
        <v>3.9</v>
      </c>
      <c r="R75" s="32" t="n">
        <v>17.2</v>
      </c>
      <c r="S75" s="33" t="n">
        <v>40912</v>
      </c>
    </row>
    <row r="76" customFormat="false" ht="16.15" hidden="true" customHeight="false" outlineLevel="0" collapsed="false">
      <c r="A76" s="27" t="s">
        <v>128</v>
      </c>
      <c r="B76" s="28" t="s">
        <v>129</v>
      </c>
      <c r="C76" s="32" t="n">
        <v>113.5402069</v>
      </c>
      <c r="D76" s="29" t="n">
        <v>13798</v>
      </c>
      <c r="E76" s="30" t="n">
        <v>39080</v>
      </c>
      <c r="F76" s="30" t="n">
        <v>20525</v>
      </c>
      <c r="G76" s="31" t="n">
        <f aca="false">SUM(F76/E76)</f>
        <v>0.525204708290686</v>
      </c>
      <c r="H76" s="31" t="str">
        <f aca="false">IF(G76&gt;69%, "GOOD", "POOR")</f>
        <v>POOR</v>
      </c>
      <c r="I76" s="32" t="n">
        <v>4.6</v>
      </c>
      <c r="J76" s="32" t="n">
        <v>275</v>
      </c>
      <c r="K76" s="32" t="str">
        <f aca="false" t="array" ref="K76:K76">_xlfn.IFS(J76&gt;299,"High HP",J76&gt;99,"Medium HP",J76&lt;100,"Low HP")</f>
        <v>Medium HP</v>
      </c>
      <c r="L76" s="32" t="s">
        <v>42</v>
      </c>
      <c r="M76" s="32" t="n">
        <v>22</v>
      </c>
      <c r="N76" s="32" t="n">
        <v>109</v>
      </c>
      <c r="O76" s="32" t="n">
        <v>73.6</v>
      </c>
      <c r="P76" s="32" t="n">
        <v>208.5</v>
      </c>
      <c r="Q76" s="32" t="n">
        <v>3.868</v>
      </c>
      <c r="R76" s="32" t="n">
        <v>20</v>
      </c>
      <c r="S76" s="33" t="n">
        <v>41124</v>
      </c>
    </row>
    <row r="77" customFormat="false" ht="16.15" hidden="true" customHeight="false" outlineLevel="0" collapsed="false">
      <c r="A77" s="27" t="s">
        <v>128</v>
      </c>
      <c r="B77" s="28" t="s">
        <v>130</v>
      </c>
      <c r="C77" s="32" t="n">
        <v>93.9579169</v>
      </c>
      <c r="D77" s="29" t="n">
        <v>48911</v>
      </c>
      <c r="E77" s="30" t="n">
        <v>43330</v>
      </c>
      <c r="F77" s="30" t="n">
        <v>21725</v>
      </c>
      <c r="G77" s="31" t="n">
        <f aca="false">SUM(F77/E77)</f>
        <v>0.501384721901685</v>
      </c>
      <c r="H77" s="31" t="str">
        <f aca="false">IF(G77&gt;69%, "GOOD", "POOR")</f>
        <v>POOR</v>
      </c>
      <c r="I77" s="32" t="n">
        <v>4.6</v>
      </c>
      <c r="J77" s="32" t="n">
        <v>215</v>
      </c>
      <c r="K77" s="32" t="str">
        <f aca="false" t="array" ref="K77:K77">_xlfn.IFS(J77&gt;299,"High HP",J77&gt;99,"Medium HP",J77&lt;100,"Low HP")</f>
        <v>Medium HP</v>
      </c>
      <c r="L77" s="32" t="s">
        <v>42</v>
      </c>
      <c r="M77" s="32" t="n">
        <v>21</v>
      </c>
      <c r="N77" s="32" t="n">
        <v>117.7</v>
      </c>
      <c r="O77" s="32" t="n">
        <v>78.2</v>
      </c>
      <c r="P77" s="32" t="n">
        <v>215.3</v>
      </c>
      <c r="Q77" s="32" t="n">
        <v>4.121</v>
      </c>
      <c r="R77" s="32" t="n">
        <v>19</v>
      </c>
      <c r="S77" s="33" t="n">
        <v>41064</v>
      </c>
    </row>
    <row r="78" customFormat="false" ht="16.15" hidden="true" customHeight="false" outlineLevel="0" collapsed="false">
      <c r="A78" s="27" t="s">
        <v>128</v>
      </c>
      <c r="B78" s="28" t="s">
        <v>131</v>
      </c>
      <c r="C78" s="32" t="n">
        <v>123.9720467</v>
      </c>
      <c r="D78" s="29" t="n">
        <v>22925</v>
      </c>
      <c r="E78" s="30" t="n">
        <v>42660</v>
      </c>
      <c r="F78" s="30" t="n">
        <v>20765</v>
      </c>
      <c r="G78" s="31" t="n">
        <f aca="false">SUM(F78/E78)</f>
        <v>0.486755743084857</v>
      </c>
      <c r="H78" s="31" t="str">
        <f aca="false">IF(G78&gt;69%, "GOOD", "POOR")</f>
        <v>POOR</v>
      </c>
      <c r="I78" s="32" t="n">
        <v>5.4</v>
      </c>
      <c r="J78" s="32" t="n">
        <v>300</v>
      </c>
      <c r="K78" s="32" t="str">
        <f aca="false" t="array" ref="K78:K78">_xlfn.IFS(J78&gt;299,"High HP",J78&gt;99,"Medium HP",J78&lt;100,"Low HP")</f>
        <v>High HP</v>
      </c>
      <c r="L78" s="32" t="s">
        <v>64</v>
      </c>
      <c r="M78" s="32" t="n">
        <v>15</v>
      </c>
      <c r="N78" s="32" t="n">
        <v>119</v>
      </c>
      <c r="O78" s="32" t="n">
        <v>79.9</v>
      </c>
      <c r="P78" s="32" t="n">
        <v>204.8</v>
      </c>
      <c r="Q78" s="32" t="n">
        <v>5.393</v>
      </c>
      <c r="R78" s="32" t="n">
        <v>30</v>
      </c>
      <c r="S78" s="33" t="n">
        <v>41266</v>
      </c>
    </row>
    <row r="79" customFormat="false" ht="16.15" hidden="true" customHeight="false" outlineLevel="0" collapsed="false">
      <c r="A79" s="27" t="s">
        <v>6</v>
      </c>
      <c r="B79" s="28" t="s">
        <v>132</v>
      </c>
      <c r="C79" s="32" t="n">
        <v>45.83218056</v>
      </c>
      <c r="D79" s="29" t="n">
        <v>26232</v>
      </c>
      <c r="E79" s="30" t="n">
        <v>13987</v>
      </c>
      <c r="F79" s="30" t="n">
        <v>8325</v>
      </c>
      <c r="G79" s="31" t="n">
        <f aca="false">SUM(F79/E79)</f>
        <v>0.595195538714521</v>
      </c>
      <c r="H79" s="31" t="str">
        <f aca="false">IF(G79&gt;69%, "GOOD", "POOR")</f>
        <v>POOR</v>
      </c>
      <c r="I79" s="32" t="n">
        <v>1.8</v>
      </c>
      <c r="J79" s="32" t="n">
        <v>113</v>
      </c>
      <c r="K79" s="32" t="str">
        <f aca="false" t="array" ref="K79:K79">_xlfn.IFS(J79&gt;299,"High HP",J79&gt;99,"Medium HP",J79&lt;100,"Low HP")</f>
        <v>Medium HP</v>
      </c>
      <c r="L79" s="32" t="s">
        <v>42</v>
      </c>
      <c r="M79" s="32" t="n">
        <v>30</v>
      </c>
      <c r="N79" s="32" t="n">
        <v>98.4</v>
      </c>
      <c r="O79" s="32" t="n">
        <v>66.5</v>
      </c>
      <c r="P79" s="32" t="n">
        <v>173.6</v>
      </c>
      <c r="Q79" s="32" t="n">
        <v>2.25</v>
      </c>
      <c r="R79" s="32" t="n">
        <v>13.2</v>
      </c>
      <c r="S79" s="33" t="n">
        <v>41022</v>
      </c>
    </row>
    <row r="80" customFormat="false" ht="16.15" hidden="true" customHeight="false" outlineLevel="0" collapsed="false">
      <c r="A80" s="27" t="s">
        <v>6</v>
      </c>
      <c r="B80" s="28" t="s">
        <v>133</v>
      </c>
      <c r="C80" s="32" t="n">
        <v>62.44196235</v>
      </c>
      <c r="D80" s="29" t="n">
        <v>42541</v>
      </c>
      <c r="E80" s="30" t="n">
        <v>19047</v>
      </c>
      <c r="F80" s="30" t="n">
        <v>10395</v>
      </c>
      <c r="G80" s="31" t="n">
        <f aca="false">SUM(F80/E80)</f>
        <v>0.545755237045204</v>
      </c>
      <c r="H80" s="31" t="str">
        <f aca="false">IF(G80&gt;69%, "GOOD", "POOR")</f>
        <v>POOR</v>
      </c>
      <c r="I80" s="32" t="n">
        <v>2.4</v>
      </c>
      <c r="J80" s="32" t="n">
        <v>154</v>
      </c>
      <c r="K80" s="32" t="str">
        <f aca="false" t="array" ref="K80:K80">_xlfn.IFS(J80&gt;299,"High HP",J80&gt;99,"Medium HP",J80&lt;100,"Low HP")</f>
        <v>Medium HP</v>
      </c>
      <c r="L80" s="32" t="s">
        <v>42</v>
      </c>
      <c r="M80" s="32" t="n">
        <v>24</v>
      </c>
      <c r="N80" s="32" t="n">
        <v>100.8</v>
      </c>
      <c r="O80" s="32" t="n">
        <v>68.9</v>
      </c>
      <c r="P80" s="32" t="n">
        <v>175.4</v>
      </c>
      <c r="Q80" s="32" t="n">
        <v>2.91</v>
      </c>
      <c r="R80" s="32" t="n">
        <v>15.9</v>
      </c>
      <c r="S80" s="33" t="n">
        <v>41237</v>
      </c>
    </row>
    <row r="81" customFormat="false" ht="16.15" hidden="true" customHeight="false" outlineLevel="0" collapsed="false">
      <c r="A81" s="27" t="s">
        <v>6</v>
      </c>
      <c r="B81" s="28" t="s">
        <v>134</v>
      </c>
      <c r="C81" s="32" t="n">
        <v>58.60677292</v>
      </c>
      <c r="D81" s="29" t="n">
        <v>55616</v>
      </c>
      <c r="E81" s="30" t="n">
        <v>17357</v>
      </c>
      <c r="F81" s="30" t="n">
        <v>10595</v>
      </c>
      <c r="G81" s="31" t="n">
        <f aca="false">SUM(F81/E81)</f>
        <v>0.610416546638244</v>
      </c>
      <c r="H81" s="31" t="str">
        <f aca="false">IF(G81&gt;69%, "GOOD", "POOR")</f>
        <v>POOR</v>
      </c>
      <c r="I81" s="32" t="n">
        <v>2.4</v>
      </c>
      <c r="J81" s="32" t="n">
        <v>145</v>
      </c>
      <c r="K81" s="32" t="str">
        <f aca="false" t="array" ref="K81:K81">_xlfn.IFS(J81&gt;299,"High HP",J81&gt;99,"Medium HP",J81&lt;100,"Low HP")</f>
        <v>Medium HP</v>
      </c>
      <c r="L81" s="32" t="s">
        <v>42</v>
      </c>
      <c r="M81" s="32" t="n">
        <v>25</v>
      </c>
      <c r="N81" s="32" t="n">
        <v>103.7</v>
      </c>
      <c r="O81" s="32" t="n">
        <v>68.5</v>
      </c>
      <c r="P81" s="32" t="n">
        <v>187.8</v>
      </c>
      <c r="Q81" s="32" t="n">
        <v>2.945</v>
      </c>
      <c r="R81" s="32" t="n">
        <v>16.3</v>
      </c>
      <c r="S81" s="33" t="n">
        <v>40937</v>
      </c>
    </row>
    <row r="82" customFormat="false" ht="16.15" hidden="true" customHeight="false" outlineLevel="0" collapsed="false">
      <c r="A82" s="27" t="s">
        <v>6</v>
      </c>
      <c r="B82" s="28" t="s">
        <v>135</v>
      </c>
      <c r="C82" s="32" t="n">
        <v>84.83077858</v>
      </c>
      <c r="D82" s="29" t="n">
        <v>5711</v>
      </c>
      <c r="E82" s="30" t="n">
        <v>24997</v>
      </c>
      <c r="F82" s="30" t="n">
        <v>16575</v>
      </c>
      <c r="G82" s="31" t="n">
        <f aca="false">SUM(F82/E82)</f>
        <v>0.663079569548346</v>
      </c>
      <c r="H82" s="31" t="str">
        <f aca="false">IF(G82&gt;69%, "GOOD", "POOR")</f>
        <v>POOR</v>
      </c>
      <c r="I82" s="32" t="n">
        <v>3.5</v>
      </c>
      <c r="J82" s="32" t="n">
        <v>210</v>
      </c>
      <c r="K82" s="32" t="str">
        <f aca="false" t="array" ref="K82:K82">_xlfn.IFS(J82&gt;299,"High HP",J82&gt;99,"Medium HP",J82&lt;100,"Low HP")</f>
        <v>Medium HP</v>
      </c>
      <c r="L82" s="32" t="s">
        <v>42</v>
      </c>
      <c r="M82" s="32" t="n">
        <v>22</v>
      </c>
      <c r="N82" s="32" t="n">
        <v>107.1</v>
      </c>
      <c r="O82" s="32" t="n">
        <v>70.3</v>
      </c>
      <c r="P82" s="32" t="n">
        <v>194.1</v>
      </c>
      <c r="Q82" s="32" t="n">
        <v>3.443</v>
      </c>
      <c r="R82" s="32" t="n">
        <v>19</v>
      </c>
      <c r="S82" s="33" t="n">
        <v>41149</v>
      </c>
    </row>
    <row r="83" customFormat="false" ht="16.15" hidden="true" customHeight="false" outlineLevel="0" collapsed="false">
      <c r="A83" s="27" t="s">
        <v>6</v>
      </c>
      <c r="B83" s="28" t="s">
        <v>136</v>
      </c>
      <c r="C83" s="32" t="n">
        <v>67.54415494</v>
      </c>
      <c r="D83" s="29" t="n">
        <v>110</v>
      </c>
      <c r="E83" s="30" t="n">
        <v>25450</v>
      </c>
      <c r="F83" s="30" t="n">
        <v>20940</v>
      </c>
      <c r="G83" s="31" t="n">
        <f aca="false">SUM(F83/E83)</f>
        <v>0.82278978388998</v>
      </c>
      <c r="H83" s="31" t="str">
        <f aca="false">IF(G83&gt;69%, "GOOD", "POOR")</f>
        <v>GOOD</v>
      </c>
      <c r="I83" s="32" t="n">
        <v>3</v>
      </c>
      <c r="J83" s="32" t="n">
        <v>161</v>
      </c>
      <c r="K83" s="32" t="str">
        <f aca="false" t="array" ref="K83:K83">_xlfn.IFS(J83&gt;299,"High HP",J83&gt;99,"Medium HP",J83&lt;100,"Low HP")</f>
        <v>Medium HP</v>
      </c>
      <c r="L83" s="32" t="s">
        <v>42</v>
      </c>
      <c r="M83" s="32" t="n">
        <v>21</v>
      </c>
      <c r="N83" s="32" t="n">
        <v>97.2</v>
      </c>
      <c r="O83" s="32" t="n">
        <v>72.4</v>
      </c>
      <c r="P83" s="32" t="n">
        <v>180.3</v>
      </c>
      <c r="Q83" s="32" t="n">
        <v>3.131</v>
      </c>
      <c r="R83" s="32" t="n">
        <v>19.8</v>
      </c>
      <c r="S83" s="33" t="n">
        <v>41089</v>
      </c>
    </row>
    <row r="84" customFormat="false" ht="16.15" hidden="true" customHeight="false" outlineLevel="0" collapsed="false">
      <c r="A84" s="27" t="s">
        <v>6</v>
      </c>
      <c r="B84" s="28" t="s">
        <v>137</v>
      </c>
      <c r="C84" s="32" t="n">
        <v>83.92081504</v>
      </c>
      <c r="D84" s="29" t="n">
        <v>11337</v>
      </c>
      <c r="E84" s="30" t="n">
        <v>31807</v>
      </c>
      <c r="F84" s="30" t="n">
        <v>19125</v>
      </c>
      <c r="G84" s="31" t="n">
        <f aca="false">SUM(F84/E84)</f>
        <v>0.601282736504543</v>
      </c>
      <c r="H84" s="31" t="str">
        <f aca="false">IF(G84&gt;69%, "GOOD", "POOR")</f>
        <v>POOR</v>
      </c>
      <c r="I84" s="32" t="n">
        <v>3.5</v>
      </c>
      <c r="J84" s="32" t="n">
        <v>200</v>
      </c>
      <c r="K84" s="32" t="str">
        <f aca="false" t="array" ref="K84:K84">_xlfn.IFS(J84&gt;299,"High HP",J84&gt;99,"Medium HP",J84&lt;100,"Low HP")</f>
        <v>Medium HP</v>
      </c>
      <c r="L84" s="32" t="s">
        <v>64</v>
      </c>
      <c r="M84" s="32" t="n">
        <v>18</v>
      </c>
      <c r="N84" s="32" t="n">
        <v>107.3</v>
      </c>
      <c r="O84" s="32" t="n">
        <v>69.9</v>
      </c>
      <c r="P84" s="32" t="n">
        <v>186.6</v>
      </c>
      <c r="Q84" s="32" t="n">
        <v>4.52</v>
      </c>
      <c r="R84" s="32" t="n">
        <v>24.3</v>
      </c>
      <c r="S84" s="33" t="n">
        <v>40925</v>
      </c>
    </row>
    <row r="85" customFormat="false" ht="16.15" hidden="true" customHeight="false" outlineLevel="0" collapsed="false">
      <c r="A85" s="27" t="s">
        <v>6</v>
      </c>
      <c r="B85" s="28" t="s">
        <v>138</v>
      </c>
      <c r="C85" s="32" t="n">
        <v>70.66094179</v>
      </c>
      <c r="D85" s="29" t="n">
        <v>39348</v>
      </c>
      <c r="E85" s="30" t="n">
        <v>22527</v>
      </c>
      <c r="F85" s="30" t="n">
        <v>13880</v>
      </c>
      <c r="G85" s="31" t="n">
        <f aca="false">SUM(F85/E85)</f>
        <v>0.616149509477516</v>
      </c>
      <c r="H85" s="31" t="str">
        <f aca="false">IF(G85&gt;69%, "GOOD", "POOR")</f>
        <v>POOR</v>
      </c>
      <c r="I85" s="32" t="n">
        <v>3</v>
      </c>
      <c r="J85" s="32" t="n">
        <v>173</v>
      </c>
      <c r="K85" s="32" t="str">
        <f aca="false" t="array" ref="K85:K85">_xlfn.IFS(J85&gt;299,"High HP",J85&gt;99,"Medium HP",J85&lt;100,"Low HP")</f>
        <v>Medium HP</v>
      </c>
      <c r="L85" s="32" t="s">
        <v>64</v>
      </c>
      <c r="M85" s="32" t="n">
        <v>20</v>
      </c>
      <c r="N85" s="32" t="n">
        <v>107.3</v>
      </c>
      <c r="O85" s="32" t="n">
        <v>66.7</v>
      </c>
      <c r="P85" s="32" t="n">
        <v>178.3</v>
      </c>
      <c r="Q85" s="32" t="n">
        <v>3.51</v>
      </c>
      <c r="R85" s="32" t="n">
        <v>19.5</v>
      </c>
      <c r="S85" s="33" t="n">
        <v>41047</v>
      </c>
    </row>
    <row r="86" customFormat="false" ht="16.15" hidden="true" customHeight="false" outlineLevel="0" collapsed="false">
      <c r="A86" s="27" t="s">
        <v>139</v>
      </c>
      <c r="B86" s="28" t="s">
        <v>140</v>
      </c>
      <c r="C86" s="32" t="n">
        <v>50.99774761</v>
      </c>
      <c r="D86" s="29" t="n">
        <v>14351</v>
      </c>
      <c r="E86" s="30" t="n">
        <v>16240</v>
      </c>
      <c r="F86" s="30" t="n">
        <v>8800</v>
      </c>
      <c r="G86" s="31" t="n">
        <f aca="false">SUM(F86/E86)</f>
        <v>0.541871921182266</v>
      </c>
      <c r="H86" s="31" t="str">
        <f aca="false">IF(G86&gt;69%, "GOOD", "POOR")</f>
        <v>POOR</v>
      </c>
      <c r="I86" s="32" t="n">
        <v>2</v>
      </c>
      <c r="J86" s="32" t="n">
        <v>125</v>
      </c>
      <c r="K86" s="32" t="str">
        <f aca="false" t="array" ref="K86:K86">_xlfn.IFS(J86&gt;299,"High HP",J86&gt;99,"Medium HP",J86&lt;100,"Low HP")</f>
        <v>Medium HP</v>
      </c>
      <c r="L86" s="32" t="s">
        <v>42</v>
      </c>
      <c r="M86" s="32" t="n">
        <v>28</v>
      </c>
      <c r="N86" s="32" t="n">
        <v>106.5</v>
      </c>
      <c r="O86" s="32" t="n">
        <v>69.1</v>
      </c>
      <c r="P86" s="32" t="n">
        <v>184.8</v>
      </c>
      <c r="Q86" s="32" t="n">
        <v>2.769</v>
      </c>
      <c r="R86" s="32" t="n">
        <v>15</v>
      </c>
      <c r="S86" s="33" t="n">
        <v>41262</v>
      </c>
    </row>
    <row r="87" customFormat="false" ht="16.15" hidden="true" customHeight="false" outlineLevel="0" collapsed="false">
      <c r="A87" s="27" t="s">
        <v>139</v>
      </c>
      <c r="B87" s="28" t="s">
        <v>141</v>
      </c>
      <c r="C87" s="32" t="n">
        <v>51.11347426</v>
      </c>
      <c r="D87" s="29" t="n">
        <v>26529</v>
      </c>
      <c r="E87" s="30" t="n">
        <v>16540</v>
      </c>
      <c r="F87" s="30" t="n">
        <v>13890</v>
      </c>
      <c r="G87" s="31" t="n">
        <f aca="false">SUM(F87/E87)</f>
        <v>0.839782345828295</v>
      </c>
      <c r="H87" s="31" t="str">
        <f aca="false">IF(G87&gt;69%, "GOOD", "POOR")</f>
        <v>GOOD</v>
      </c>
      <c r="I87" s="32" t="n">
        <v>2</v>
      </c>
      <c r="J87" s="32" t="n">
        <v>125</v>
      </c>
      <c r="K87" s="32" t="str">
        <f aca="false" t="array" ref="K87:K87">_xlfn.IFS(J87&gt;299,"High HP",J87&gt;99,"Medium HP",J87&lt;100,"Low HP")</f>
        <v>Medium HP</v>
      </c>
      <c r="L87" s="32" t="s">
        <v>42</v>
      </c>
      <c r="M87" s="32" t="n">
        <v>30</v>
      </c>
      <c r="N87" s="32" t="n">
        <v>106.4</v>
      </c>
      <c r="O87" s="32" t="n">
        <v>69.6</v>
      </c>
      <c r="P87" s="32" t="n">
        <v>185</v>
      </c>
      <c r="Q87" s="32" t="n">
        <v>2.892</v>
      </c>
      <c r="R87" s="32" t="n">
        <v>16</v>
      </c>
      <c r="S87" s="33" t="n">
        <v>40962</v>
      </c>
    </row>
    <row r="88" customFormat="false" ht="16.15" hidden="true" customHeight="false" outlineLevel="0" collapsed="false">
      <c r="A88" s="27" t="s">
        <v>139</v>
      </c>
      <c r="B88" s="28" t="s">
        <v>142</v>
      </c>
      <c r="C88" s="32" t="n">
        <v>62.23996663</v>
      </c>
      <c r="D88" s="29" t="n">
        <v>67956</v>
      </c>
      <c r="E88" s="30" t="n">
        <v>19035</v>
      </c>
      <c r="F88" s="30" t="n">
        <v>11030</v>
      </c>
      <c r="G88" s="31" t="n">
        <f aca="false">SUM(F88/E88)</f>
        <v>0.579458891515629</v>
      </c>
      <c r="H88" s="31" t="str">
        <f aca="false">IF(G88&gt;69%, "GOOD", "POOR")</f>
        <v>POOR</v>
      </c>
      <c r="I88" s="32" t="n">
        <v>3</v>
      </c>
      <c r="J88" s="32" t="n">
        <v>153</v>
      </c>
      <c r="K88" s="32" t="str">
        <f aca="false" t="array" ref="K88:K88">_xlfn.IFS(J88&gt;299,"High HP",J88&gt;99,"Medium HP",J88&lt;100,"Low HP")</f>
        <v>Medium HP</v>
      </c>
      <c r="L88" s="32" t="s">
        <v>42</v>
      </c>
      <c r="M88" s="32" t="n">
        <v>24</v>
      </c>
      <c r="N88" s="32" t="n">
        <v>108.5</v>
      </c>
      <c r="O88" s="32" t="n">
        <v>73</v>
      </c>
      <c r="P88" s="32" t="n">
        <v>199.7</v>
      </c>
      <c r="Q88" s="32" t="n">
        <v>3.379</v>
      </c>
      <c r="R88" s="32" t="n">
        <v>16</v>
      </c>
      <c r="S88" s="33" t="n">
        <v>41174</v>
      </c>
    </row>
    <row r="89" customFormat="false" ht="16.15" hidden="true" customHeight="false" outlineLevel="0" collapsed="false">
      <c r="A89" s="27" t="s">
        <v>139</v>
      </c>
      <c r="B89" s="28" t="s">
        <v>143</v>
      </c>
      <c r="C89" s="32" t="n">
        <v>80.65769646</v>
      </c>
      <c r="D89" s="29" t="n">
        <v>81174</v>
      </c>
      <c r="E89" s="30" t="n">
        <v>22605</v>
      </c>
      <c r="F89" s="30" t="n">
        <v>14875</v>
      </c>
      <c r="G89" s="31" t="n">
        <f aca="false">SUM(F89/E89)</f>
        <v>0.658040256580403</v>
      </c>
      <c r="H89" s="31" t="str">
        <f aca="false">IF(G89&gt;69%, "GOOD", "POOR")</f>
        <v>POOR</v>
      </c>
      <c r="I89" s="32" t="n">
        <v>4.6</v>
      </c>
      <c r="J89" s="32" t="n">
        <v>200</v>
      </c>
      <c r="K89" s="32" t="str">
        <f aca="false" t="array" ref="K89:K89">_xlfn.IFS(J89&gt;299,"High HP",J89&gt;99,"Medium HP",J89&lt;100,"Low HP")</f>
        <v>Medium HP</v>
      </c>
      <c r="L89" s="32" t="s">
        <v>42</v>
      </c>
      <c r="M89" s="32" t="n">
        <v>21</v>
      </c>
      <c r="N89" s="32" t="n">
        <v>114.7</v>
      </c>
      <c r="O89" s="32" t="n">
        <v>78.2</v>
      </c>
      <c r="P89" s="32" t="n">
        <v>212</v>
      </c>
      <c r="Q89" s="32" t="n">
        <v>3.958</v>
      </c>
      <c r="R89" s="32" t="n">
        <v>19</v>
      </c>
      <c r="S89" s="33" t="n">
        <v>41114</v>
      </c>
    </row>
    <row r="90" customFormat="false" ht="16.15" hidden="true" customHeight="false" outlineLevel="0" collapsed="false">
      <c r="A90" s="27" t="s">
        <v>139</v>
      </c>
      <c r="B90" s="28" t="s">
        <v>144</v>
      </c>
      <c r="C90" s="32" t="n">
        <v>85.94974425</v>
      </c>
      <c r="D90" s="29" t="n">
        <v>27609</v>
      </c>
      <c r="E90" s="30" t="n">
        <v>27560</v>
      </c>
      <c r="F90" s="30" t="n">
        <v>20430</v>
      </c>
      <c r="G90" s="31" t="n">
        <f aca="false">SUM(F90/E90)</f>
        <v>0.741291727140784</v>
      </c>
      <c r="H90" s="31" t="str">
        <f aca="false">IF(G90&gt;69%, "GOOD", "POOR")</f>
        <v>GOOD</v>
      </c>
      <c r="I90" s="32" t="n">
        <v>4</v>
      </c>
      <c r="J90" s="32" t="n">
        <v>210</v>
      </c>
      <c r="K90" s="32" t="str">
        <f aca="false" t="array" ref="K90:K90">_xlfn.IFS(J90&gt;299,"High HP",J90&gt;99,"Medium HP",J90&lt;100,"Low HP")</f>
        <v>Medium HP</v>
      </c>
      <c r="L90" s="32" t="s">
        <v>64</v>
      </c>
      <c r="M90" s="32" t="n">
        <v>18</v>
      </c>
      <c r="N90" s="32" t="n">
        <v>111.6</v>
      </c>
      <c r="O90" s="32" t="n">
        <v>70.2</v>
      </c>
      <c r="P90" s="32" t="n">
        <v>190.1</v>
      </c>
      <c r="Q90" s="32" t="n">
        <v>3.876</v>
      </c>
      <c r="R90" s="32" t="n">
        <v>21</v>
      </c>
      <c r="S90" s="33" t="n">
        <v>39491</v>
      </c>
    </row>
    <row r="91" customFormat="false" ht="16.15" hidden="true" customHeight="false" outlineLevel="0" collapsed="false">
      <c r="A91" s="27" t="s">
        <v>139</v>
      </c>
      <c r="B91" s="28" t="s">
        <v>145</v>
      </c>
      <c r="C91" s="32" t="n">
        <v>69.671461</v>
      </c>
      <c r="D91" s="29" t="n">
        <v>20380</v>
      </c>
      <c r="E91" s="30" t="n">
        <v>22510</v>
      </c>
      <c r="F91" s="30" t="n">
        <v>14795</v>
      </c>
      <c r="G91" s="31" t="n">
        <f aca="false">SUM(F91/E91)</f>
        <v>0.65726343847179</v>
      </c>
      <c r="H91" s="31" t="str">
        <f aca="false">IF(G91&gt;69%, "GOOD", "POOR")</f>
        <v>POOR</v>
      </c>
      <c r="I91" s="32" t="n">
        <v>3.3</v>
      </c>
      <c r="J91" s="32" t="n">
        <v>170</v>
      </c>
      <c r="K91" s="32" t="str">
        <f aca="false" t="array" ref="K91:K91">_xlfn.IFS(J91&gt;299,"High HP",J91&gt;99,"Medium HP",J91&lt;100,"Low HP")</f>
        <v>Medium HP</v>
      </c>
      <c r="L91" s="32" t="s">
        <v>64</v>
      </c>
      <c r="M91" s="32" t="n">
        <v>21</v>
      </c>
      <c r="N91" s="32" t="n">
        <v>112.2</v>
      </c>
      <c r="O91" s="32" t="n">
        <v>74.9</v>
      </c>
      <c r="P91" s="32" t="n">
        <v>194.7</v>
      </c>
      <c r="Q91" s="32" t="n">
        <v>3.944</v>
      </c>
      <c r="R91" s="32" t="n">
        <v>20</v>
      </c>
      <c r="S91" s="33" t="n">
        <v>40106</v>
      </c>
    </row>
    <row r="92" customFormat="false" ht="16.15" hidden="true" customHeight="false" outlineLevel="0" collapsed="false">
      <c r="A92" s="27" t="s">
        <v>146</v>
      </c>
      <c r="B92" s="28" t="s">
        <v>147</v>
      </c>
      <c r="C92" s="32" t="n">
        <v>78.28073088</v>
      </c>
      <c r="D92" s="29" t="n">
        <v>18392</v>
      </c>
      <c r="E92" s="30" t="n">
        <v>31750</v>
      </c>
      <c r="F92" s="30" t="n">
        <v>26050</v>
      </c>
      <c r="G92" s="31" t="n">
        <f aca="false">SUM(F92/E92)</f>
        <v>0.820472440944882</v>
      </c>
      <c r="H92" s="31" t="str">
        <f aca="false">IF(G92&gt;69%, "GOOD", "POOR")</f>
        <v>GOOD</v>
      </c>
      <c r="I92" s="32" t="n">
        <v>2.3</v>
      </c>
      <c r="J92" s="32" t="n">
        <v>185</v>
      </c>
      <c r="K92" s="32" t="str">
        <f aca="false" t="array" ref="K92:K92">_xlfn.IFS(J92&gt;299,"High HP",J92&gt;99,"Medium HP",J92&lt;100,"Low HP")</f>
        <v>Medium HP</v>
      </c>
      <c r="L92" s="32" t="s">
        <v>42</v>
      </c>
      <c r="M92" s="32" t="n">
        <v>26</v>
      </c>
      <c r="N92" s="32" t="n">
        <v>105.9</v>
      </c>
      <c r="O92" s="32" t="n">
        <v>67.7</v>
      </c>
      <c r="P92" s="32" t="n">
        <v>177.4</v>
      </c>
      <c r="Q92" s="32" t="n">
        <v>3.25</v>
      </c>
      <c r="R92" s="32" t="n">
        <v>16.4</v>
      </c>
      <c r="S92" s="33" t="n">
        <v>40657</v>
      </c>
    </row>
    <row r="93" customFormat="false" ht="16.15" hidden="true" customHeight="false" outlineLevel="0" collapsed="false">
      <c r="A93" s="27" t="s">
        <v>146</v>
      </c>
      <c r="B93" s="28" t="s">
        <v>148</v>
      </c>
      <c r="C93" s="32" t="n">
        <v>98.2497375</v>
      </c>
      <c r="D93" s="29" t="n">
        <v>27602</v>
      </c>
      <c r="E93" s="30" t="n">
        <v>49900</v>
      </c>
      <c r="F93" s="30" t="n">
        <v>41450</v>
      </c>
      <c r="G93" s="31" t="n">
        <f aca="false">SUM(F93/E93)</f>
        <v>0.830661322645291</v>
      </c>
      <c r="H93" s="31" t="str">
        <f aca="false">IF(G93&gt;69%, "GOOD", "POOR")</f>
        <v>GOOD</v>
      </c>
      <c r="I93" s="32" t="n">
        <v>3.2</v>
      </c>
      <c r="J93" s="32" t="n">
        <v>221</v>
      </c>
      <c r="K93" s="32" t="str">
        <f aca="false" t="array" ref="K93:K93">_xlfn.IFS(J93&gt;299,"High HP",J93&gt;99,"Medium HP",J93&lt;100,"Low HP")</f>
        <v>Medium HP</v>
      </c>
      <c r="L93" s="32" t="s">
        <v>42</v>
      </c>
      <c r="M93" s="32" t="n">
        <v>25</v>
      </c>
      <c r="N93" s="32" t="n">
        <v>111.5</v>
      </c>
      <c r="O93" s="32" t="n">
        <v>70.8</v>
      </c>
      <c r="P93" s="32" t="n">
        <v>189.4</v>
      </c>
      <c r="Q93" s="32" t="n">
        <v>3.823</v>
      </c>
      <c r="R93" s="32" t="n">
        <v>21.1</v>
      </c>
      <c r="S93" s="33" t="n">
        <v>40736</v>
      </c>
    </row>
    <row r="94" customFormat="false" ht="16.15" hidden="true" customHeight="false" outlineLevel="0" collapsed="false">
      <c r="A94" s="27" t="s">
        <v>146</v>
      </c>
      <c r="B94" s="28" t="s">
        <v>149</v>
      </c>
      <c r="C94" s="32" t="n">
        <v>125.2738757</v>
      </c>
      <c r="D94" s="29" t="n">
        <v>16774</v>
      </c>
      <c r="E94" s="30" t="n">
        <v>69700</v>
      </c>
      <c r="F94" s="30" t="n">
        <v>50375</v>
      </c>
      <c r="G94" s="31" t="n">
        <f aca="false">SUM(F94/E94)</f>
        <v>0.722740315638451</v>
      </c>
      <c r="H94" s="31" t="str">
        <f aca="false">IF(G94&gt;69%, "GOOD", "POOR")</f>
        <v>GOOD</v>
      </c>
      <c r="I94" s="32" t="n">
        <v>4.3</v>
      </c>
      <c r="J94" s="32" t="n">
        <v>275</v>
      </c>
      <c r="K94" s="32" t="str">
        <f aca="false" t="array" ref="K94:K94">_xlfn.IFS(J94&gt;299,"High HP",J94&gt;99,"Medium HP",J94&lt;100,"Low HP")</f>
        <v>Medium HP</v>
      </c>
      <c r="L94" s="32" t="s">
        <v>42</v>
      </c>
      <c r="M94" s="32" t="n">
        <v>21</v>
      </c>
      <c r="N94" s="32" t="n">
        <v>121.5</v>
      </c>
      <c r="O94" s="32" t="n">
        <v>73.1</v>
      </c>
      <c r="P94" s="32" t="n">
        <v>203.1</v>
      </c>
      <c r="Q94" s="32" t="n">
        <v>4.133</v>
      </c>
      <c r="R94" s="32" t="n">
        <v>23.2</v>
      </c>
      <c r="S94" s="33" t="n">
        <v>40707</v>
      </c>
    </row>
    <row r="95" customFormat="false" ht="16.15" hidden="true" customHeight="false" outlineLevel="0" collapsed="false">
      <c r="A95" s="27" t="s">
        <v>146</v>
      </c>
      <c r="B95" s="28" t="s">
        <v>150</v>
      </c>
      <c r="C95" s="32" t="n">
        <v>139.9822936</v>
      </c>
      <c r="D95" s="29" t="n">
        <v>3311</v>
      </c>
      <c r="E95" s="30" t="n">
        <v>82600</v>
      </c>
      <c r="F95" s="30" t="n">
        <v>58600</v>
      </c>
      <c r="G95" s="31" t="n">
        <f aca="false">SUM(F95/E95)</f>
        <v>0.709443099273608</v>
      </c>
      <c r="H95" s="31" t="str">
        <f aca="false">IF(G95&gt;69%, "GOOD", "POOR")</f>
        <v>GOOD</v>
      </c>
      <c r="I95" s="32" t="n">
        <v>5</v>
      </c>
      <c r="J95" s="32" t="n">
        <v>302</v>
      </c>
      <c r="K95" s="32" t="str">
        <f aca="false" t="array" ref="K95:K95">_xlfn.IFS(J95&gt;299,"High HP",J95&gt;99,"Medium HP",J95&lt;100,"Low HP")</f>
        <v>High HP</v>
      </c>
      <c r="L95" s="32" t="s">
        <v>42</v>
      </c>
      <c r="M95" s="32" t="n">
        <v>20</v>
      </c>
      <c r="N95" s="32" t="n">
        <v>99</v>
      </c>
      <c r="O95" s="32" t="n">
        <v>71.3</v>
      </c>
      <c r="P95" s="32" t="n">
        <v>177.1</v>
      </c>
      <c r="Q95" s="32" t="n">
        <v>4.125</v>
      </c>
      <c r="R95" s="32" t="n">
        <v>21.1</v>
      </c>
      <c r="S95" s="33" t="n">
        <v>40619</v>
      </c>
    </row>
    <row r="96" customFormat="false" ht="16.15" hidden="true" customHeight="false" outlineLevel="0" collapsed="false">
      <c r="A96" s="27" t="s">
        <v>146</v>
      </c>
      <c r="B96" s="28" t="s">
        <v>151</v>
      </c>
      <c r="C96" s="32" t="n">
        <v>82.80736193</v>
      </c>
      <c r="D96" s="29" t="n">
        <v>7998</v>
      </c>
      <c r="E96" s="30" t="n">
        <v>38900</v>
      </c>
      <c r="F96" s="30" t="n">
        <v>32436</v>
      </c>
      <c r="G96" s="31" t="n">
        <f aca="false">SUM(F96/E96)</f>
        <v>0.833830334190231</v>
      </c>
      <c r="H96" s="31" t="str">
        <f aca="false">IF(G96&gt;69%, "GOOD", "POOR")</f>
        <v>GOOD</v>
      </c>
      <c r="I96" s="32" t="n">
        <v>2.3</v>
      </c>
      <c r="J96" s="32" t="n">
        <v>190</v>
      </c>
      <c r="K96" s="32" t="str">
        <f aca="false" t="array" ref="K96:K96">_xlfn.IFS(J96&gt;299,"High HP",J96&gt;99,"Medium HP",J96&lt;100,"Low HP")</f>
        <v>Medium HP</v>
      </c>
      <c r="L96" s="32" t="s">
        <v>42</v>
      </c>
      <c r="M96" s="32" t="n">
        <v>26</v>
      </c>
      <c r="N96" s="32" t="n">
        <v>94.5</v>
      </c>
      <c r="O96" s="32" t="n">
        <v>67.5</v>
      </c>
      <c r="P96" s="32" t="n">
        <v>157.9</v>
      </c>
      <c r="Q96" s="32" t="n">
        <v>3.055</v>
      </c>
      <c r="R96" s="32" t="n">
        <v>15.9</v>
      </c>
      <c r="S96" s="33" t="n">
        <v>40559</v>
      </c>
    </row>
    <row r="97" customFormat="false" ht="16.15" hidden="true" customHeight="false" outlineLevel="0" collapsed="false">
      <c r="A97" s="27" t="s">
        <v>146</v>
      </c>
      <c r="B97" s="28" t="s">
        <v>152</v>
      </c>
      <c r="C97" s="32" t="n">
        <v>81.84896924</v>
      </c>
      <c r="D97" s="29" t="n">
        <v>1526</v>
      </c>
      <c r="E97" s="30" t="n">
        <v>41000</v>
      </c>
      <c r="F97" s="30" t="n">
        <v>28635</v>
      </c>
      <c r="G97" s="31" t="n">
        <f aca="false">SUM(F97/E97)</f>
        <v>0.698414634146341</v>
      </c>
      <c r="H97" s="31" t="str">
        <f aca="false">IF(G97&gt;69%, "GOOD", "POOR")</f>
        <v>GOOD</v>
      </c>
      <c r="I97" s="32" t="n">
        <v>2.3</v>
      </c>
      <c r="J97" s="32" t="n">
        <v>185</v>
      </c>
      <c r="K97" s="32" t="str">
        <f aca="false" t="array" ref="K97:K97">_xlfn.IFS(J97&gt;299,"High HP",J97&gt;99,"Medium HP",J97&lt;100,"Low HP")</f>
        <v>Medium HP</v>
      </c>
      <c r="L97" s="32" t="s">
        <v>42</v>
      </c>
      <c r="M97" s="32" t="n">
        <v>27</v>
      </c>
      <c r="N97" s="32" t="n">
        <v>94.5</v>
      </c>
      <c r="O97" s="32" t="n">
        <v>67.5</v>
      </c>
      <c r="P97" s="32" t="n">
        <v>157.3</v>
      </c>
      <c r="Q97" s="32" t="n">
        <v>2.975</v>
      </c>
      <c r="R97" s="32" t="n">
        <v>14</v>
      </c>
      <c r="S97" s="33" t="n">
        <v>40761</v>
      </c>
    </row>
    <row r="98" customFormat="false" ht="16.15" hidden="true" customHeight="false" outlineLevel="0" collapsed="false">
      <c r="A98" s="27" t="s">
        <v>146</v>
      </c>
      <c r="B98" s="28" t="s">
        <v>153</v>
      </c>
      <c r="C98" s="32" t="n">
        <v>92.92579177</v>
      </c>
      <c r="D98" s="29" t="n">
        <v>11592</v>
      </c>
      <c r="E98" s="30" t="n">
        <v>41600</v>
      </c>
      <c r="F98" s="30" t="n">
        <v>29200</v>
      </c>
      <c r="G98" s="31" t="n">
        <f aca="false">SUM(F98/E98)</f>
        <v>0.701923076923077</v>
      </c>
      <c r="H98" s="31" t="str">
        <f aca="false">IF(G98&gt;69%, "GOOD", "POOR")</f>
        <v>GOOD</v>
      </c>
      <c r="I98" s="32" t="n">
        <v>3.2</v>
      </c>
      <c r="J98" s="32" t="n">
        <v>215</v>
      </c>
      <c r="K98" s="32" t="str">
        <f aca="false" t="array" ref="K98:K98">_xlfn.IFS(J98&gt;299,"High HP",J98&gt;99,"Medium HP",J98&lt;100,"Low HP")</f>
        <v>Medium HP</v>
      </c>
      <c r="L98" s="32" t="s">
        <v>42</v>
      </c>
      <c r="M98" s="32" t="n">
        <v>26</v>
      </c>
      <c r="N98" s="32" t="n">
        <v>105.9</v>
      </c>
      <c r="O98" s="32" t="n">
        <v>67.8</v>
      </c>
      <c r="P98" s="32" t="n">
        <v>180.3</v>
      </c>
      <c r="Q98" s="32" t="n">
        <v>3.213</v>
      </c>
      <c r="R98" s="32" t="n">
        <v>16.4</v>
      </c>
      <c r="S98" s="33" t="n">
        <v>40732</v>
      </c>
    </row>
    <row r="99" customFormat="false" ht="16.15" hidden="true" customHeight="false" outlineLevel="0" collapsed="false">
      <c r="A99" s="27" t="s">
        <v>146</v>
      </c>
      <c r="B99" s="28" t="s">
        <v>154</v>
      </c>
      <c r="C99" s="32" t="n">
        <v>141.1009845</v>
      </c>
      <c r="D99" s="29" t="n">
        <v>954</v>
      </c>
      <c r="E99" s="30" t="n">
        <v>85500</v>
      </c>
      <c r="F99" s="30" t="n">
        <v>63423</v>
      </c>
      <c r="G99" s="31" t="n">
        <f aca="false">SUM(F99/E99)</f>
        <v>0.741789473684211</v>
      </c>
      <c r="H99" s="31" t="str">
        <f aca="false">IF(G99&gt;69%, "GOOD", "POOR")</f>
        <v>GOOD</v>
      </c>
      <c r="I99" s="32" t="n">
        <v>5</v>
      </c>
      <c r="J99" s="32" t="n">
        <v>302</v>
      </c>
      <c r="K99" s="32" t="str">
        <f aca="false" t="array" ref="K99:K99">_xlfn.IFS(J99&gt;299,"High HP",J99&gt;99,"Medium HP",J99&lt;100,"Low HP")</f>
        <v>High HP</v>
      </c>
      <c r="L99" s="32" t="s">
        <v>42</v>
      </c>
      <c r="M99" s="32" t="n">
        <v>20</v>
      </c>
      <c r="N99" s="32" t="n">
        <v>113.6</v>
      </c>
      <c r="O99" s="32" t="n">
        <v>73.1</v>
      </c>
      <c r="P99" s="32" t="n">
        <v>196.6</v>
      </c>
      <c r="Q99" s="32" t="n">
        <v>4.115</v>
      </c>
      <c r="R99" s="32" t="n">
        <v>23.2</v>
      </c>
      <c r="S99" s="33" t="n">
        <v>40644</v>
      </c>
    </row>
    <row r="100" customFormat="false" ht="16.15" hidden="true" customHeight="false" outlineLevel="0" collapsed="false">
      <c r="A100" s="27" t="s">
        <v>146</v>
      </c>
      <c r="B100" s="28" t="s">
        <v>155</v>
      </c>
      <c r="C100" s="32" t="n">
        <v>90.49553213</v>
      </c>
      <c r="D100" s="29" t="n">
        <v>28976</v>
      </c>
      <c r="E100" s="30" t="n">
        <v>35300</v>
      </c>
      <c r="F100" s="30" t="n">
        <v>28720</v>
      </c>
      <c r="G100" s="31" t="n">
        <f aca="false">SUM(F100/E100)</f>
        <v>0.813597733711048</v>
      </c>
      <c r="H100" s="31" t="str">
        <f aca="false">IF(G100&gt;69%, "GOOD", "POOR")</f>
        <v>GOOD</v>
      </c>
      <c r="I100" s="32" t="n">
        <v>3.2</v>
      </c>
      <c r="J100" s="32" t="n">
        <v>215</v>
      </c>
      <c r="K100" s="32" t="str">
        <f aca="false" t="array" ref="K100:K100">_xlfn.IFS(J100&gt;299,"High HP",J100&gt;99,"Medium HP",J100&lt;100,"Low HP")</f>
        <v>Medium HP</v>
      </c>
      <c r="L100" s="32" t="s">
        <v>64</v>
      </c>
      <c r="M100" s="32" t="n">
        <v>20</v>
      </c>
      <c r="N100" s="32" t="n">
        <v>111</v>
      </c>
      <c r="O100" s="32" t="n">
        <v>72.2</v>
      </c>
      <c r="P100" s="32" t="n">
        <v>180.6</v>
      </c>
      <c r="Q100" s="32" t="n">
        <v>4.387</v>
      </c>
      <c r="R100" s="32" t="n">
        <v>19</v>
      </c>
      <c r="S100" s="33" t="n">
        <v>40584</v>
      </c>
    </row>
    <row r="101" customFormat="false" ht="16.15" hidden="true" customHeight="false" outlineLevel="0" collapsed="false">
      <c r="A101" s="27" t="s">
        <v>7</v>
      </c>
      <c r="B101" s="28" t="s">
        <v>156</v>
      </c>
      <c r="C101" s="32" t="n">
        <v>50.24197791</v>
      </c>
      <c r="D101" s="29" t="n">
        <v>42643</v>
      </c>
      <c r="E101" s="30" t="n">
        <v>13499</v>
      </c>
      <c r="F101" s="30" t="n">
        <v>8450</v>
      </c>
      <c r="G101" s="31" t="n">
        <f aca="false">SUM(F101/E101)</f>
        <v>0.625972294244018</v>
      </c>
      <c r="H101" s="31" t="str">
        <f aca="false">IF(G101&gt;69%, "GOOD", "POOR")</f>
        <v>POOR</v>
      </c>
      <c r="I101" s="32" t="n">
        <v>1.8</v>
      </c>
      <c r="J101" s="32" t="n">
        <v>126</v>
      </c>
      <c r="K101" s="32" t="str">
        <f aca="false" t="array" ref="K101:K101">_xlfn.IFS(J101&gt;299,"High HP",J101&gt;99,"Medium HP",J101&lt;100,"Low HP")</f>
        <v>Medium HP</v>
      </c>
      <c r="L101" s="32" t="s">
        <v>42</v>
      </c>
      <c r="M101" s="32" t="n">
        <v>30</v>
      </c>
      <c r="N101" s="32" t="n">
        <v>99.8</v>
      </c>
      <c r="O101" s="32" t="n">
        <v>67.3</v>
      </c>
      <c r="P101" s="32" t="n">
        <v>177.5</v>
      </c>
      <c r="Q101" s="32" t="n">
        <v>2.593</v>
      </c>
      <c r="R101" s="32" t="n">
        <v>13.2</v>
      </c>
      <c r="S101" s="33" t="n">
        <v>40786</v>
      </c>
    </row>
    <row r="102" customFormat="false" ht="16.15" hidden="true" customHeight="false" outlineLevel="0" collapsed="false">
      <c r="A102" s="27" t="s">
        <v>7</v>
      </c>
      <c r="B102" s="28" t="s">
        <v>157</v>
      </c>
      <c r="C102" s="32" t="n">
        <v>63.31372783</v>
      </c>
      <c r="D102" s="29" t="n">
        <v>88094</v>
      </c>
      <c r="E102" s="30" t="n">
        <v>20390</v>
      </c>
      <c r="F102" s="30" t="n">
        <v>11295</v>
      </c>
      <c r="G102" s="31" t="n">
        <f aca="false">SUM(F102/E102)</f>
        <v>0.553948013732222</v>
      </c>
      <c r="H102" s="31" t="str">
        <f aca="false">IF(G102&gt;69%, "GOOD", "POOR")</f>
        <v>POOR</v>
      </c>
      <c r="I102" s="32" t="n">
        <v>2.4</v>
      </c>
      <c r="J102" s="32" t="n">
        <v>155</v>
      </c>
      <c r="K102" s="32" t="str">
        <f aca="false" t="array" ref="K102:K102">_xlfn.IFS(J102&gt;299,"High HP",J102&gt;99,"Medium HP",J102&lt;100,"Low HP")</f>
        <v>Medium HP</v>
      </c>
      <c r="L102" s="32" t="s">
        <v>42</v>
      </c>
      <c r="M102" s="32" t="n">
        <v>25</v>
      </c>
      <c r="N102" s="32" t="n">
        <v>103.1</v>
      </c>
      <c r="O102" s="32" t="n">
        <v>69.1</v>
      </c>
      <c r="P102" s="32" t="n">
        <v>183.5</v>
      </c>
      <c r="Q102" s="32" t="n">
        <v>3.012</v>
      </c>
      <c r="R102" s="32" t="n">
        <v>15.9</v>
      </c>
      <c r="S102" s="33" t="n">
        <v>40757</v>
      </c>
    </row>
    <row r="103" customFormat="false" ht="16.15" hidden="true" customHeight="false" outlineLevel="0" collapsed="false">
      <c r="A103" s="27" t="s">
        <v>7</v>
      </c>
      <c r="B103" s="28" t="s">
        <v>158</v>
      </c>
      <c r="C103" s="32" t="n">
        <v>89.42782031</v>
      </c>
      <c r="D103" s="29" t="n">
        <v>79853</v>
      </c>
      <c r="E103" s="30" t="n">
        <v>26249</v>
      </c>
      <c r="F103" s="30" t="n">
        <v>15125</v>
      </c>
      <c r="G103" s="31" t="n">
        <f aca="false">SUM(F103/E103)</f>
        <v>0.576212427140082</v>
      </c>
      <c r="H103" s="31" t="str">
        <f aca="false">IF(G103&gt;69%, "GOOD", "POOR")</f>
        <v>POOR</v>
      </c>
      <c r="I103" s="32" t="n">
        <v>3</v>
      </c>
      <c r="J103" s="32" t="n">
        <v>222</v>
      </c>
      <c r="K103" s="32" t="str">
        <f aca="false" t="array" ref="K103:K103">_xlfn.IFS(J103&gt;299,"High HP",J103&gt;99,"Medium HP",J103&lt;100,"Low HP")</f>
        <v>Medium HP</v>
      </c>
      <c r="L103" s="32" t="s">
        <v>42</v>
      </c>
      <c r="M103" s="32" t="n">
        <v>25</v>
      </c>
      <c r="N103" s="32" t="n">
        <v>108.3</v>
      </c>
      <c r="O103" s="32" t="n">
        <v>70.3</v>
      </c>
      <c r="P103" s="32" t="n">
        <v>190.5</v>
      </c>
      <c r="Q103" s="32" t="n">
        <v>3.294</v>
      </c>
      <c r="R103" s="32" t="n">
        <v>18.5</v>
      </c>
      <c r="S103" s="33" t="n">
        <v>40669</v>
      </c>
    </row>
    <row r="104" customFormat="false" ht="16.15" hidden="true" customHeight="false" outlineLevel="0" collapsed="false">
      <c r="A104" s="27" t="s">
        <v>7</v>
      </c>
      <c r="B104" s="28" t="s">
        <v>159</v>
      </c>
      <c r="C104" s="32" t="n">
        <v>71.17166413</v>
      </c>
      <c r="D104" s="29" t="n">
        <v>27308</v>
      </c>
      <c r="E104" s="30" t="n">
        <v>26399</v>
      </c>
      <c r="F104" s="30" t="n">
        <v>15380</v>
      </c>
      <c r="G104" s="31" t="n">
        <f aca="false">SUM(F104/E104)</f>
        <v>0.582597825675215</v>
      </c>
      <c r="H104" s="31" t="str">
        <f aca="false">IF(G104&gt;69%, "GOOD", "POOR")</f>
        <v>POOR</v>
      </c>
      <c r="I104" s="32" t="n">
        <v>3.3</v>
      </c>
      <c r="J104" s="32" t="n">
        <v>170</v>
      </c>
      <c r="K104" s="32" t="str">
        <f aca="false" t="array" ref="K104:K104">_xlfn.IFS(J104&gt;299,"High HP",J104&gt;99,"Medium HP",J104&lt;100,"Low HP")</f>
        <v>Medium HP</v>
      </c>
      <c r="L104" s="32" t="s">
        <v>64</v>
      </c>
      <c r="M104" s="32" t="n">
        <v>21</v>
      </c>
      <c r="N104" s="32" t="n">
        <v>112.2</v>
      </c>
      <c r="O104" s="32" t="n">
        <v>74.9</v>
      </c>
      <c r="P104" s="32" t="n">
        <v>194.8</v>
      </c>
      <c r="Q104" s="32" t="n">
        <v>3.991</v>
      </c>
      <c r="R104" s="32" t="n">
        <v>20</v>
      </c>
      <c r="S104" s="33" t="n">
        <v>40609</v>
      </c>
    </row>
    <row r="105" customFormat="false" ht="16.15" hidden="true" customHeight="false" outlineLevel="0" collapsed="false">
      <c r="A105" s="27" t="s">
        <v>7</v>
      </c>
      <c r="B105" s="28" t="s">
        <v>160</v>
      </c>
      <c r="C105" s="32" t="n">
        <v>72.29035508</v>
      </c>
      <c r="D105" s="29" t="n">
        <v>42574</v>
      </c>
      <c r="E105" s="30" t="n">
        <v>29299</v>
      </c>
      <c r="F105" s="30" t="n">
        <v>17810</v>
      </c>
      <c r="G105" s="31" t="n">
        <f aca="false">SUM(F105/E105)</f>
        <v>0.60787057578757</v>
      </c>
      <c r="H105" s="31" t="str">
        <f aca="false">IF(G105&gt;69%, "GOOD", "POOR")</f>
        <v>POOR</v>
      </c>
      <c r="I105" s="32" t="n">
        <v>3.3</v>
      </c>
      <c r="J105" s="32" t="n">
        <v>170</v>
      </c>
      <c r="K105" s="32" t="str">
        <f aca="false" t="array" ref="K105:K105">_xlfn.IFS(J105&gt;299,"High HP",J105&gt;99,"Medium HP",J105&lt;100,"Low HP")</f>
        <v>Medium HP</v>
      </c>
      <c r="L105" s="32" t="s">
        <v>64</v>
      </c>
      <c r="M105" s="32" t="n">
        <v>19</v>
      </c>
      <c r="N105" s="32" t="n">
        <v>106.3</v>
      </c>
      <c r="O105" s="32" t="n">
        <v>71.7</v>
      </c>
      <c r="P105" s="32" t="n">
        <v>182.6</v>
      </c>
      <c r="Q105" s="32" t="n">
        <v>3.947</v>
      </c>
      <c r="R105" s="32" t="n">
        <v>21</v>
      </c>
      <c r="S105" s="33" t="n">
        <v>40811</v>
      </c>
    </row>
    <row r="106" customFormat="false" ht="16.15" hidden="true" customHeight="false" outlineLevel="0" collapsed="false">
      <c r="A106" s="27" t="s">
        <v>7</v>
      </c>
      <c r="B106" s="28" t="s">
        <v>161</v>
      </c>
      <c r="C106" s="32" t="n">
        <v>69.78294434</v>
      </c>
      <c r="D106" s="29" t="n">
        <v>54158</v>
      </c>
      <c r="E106" s="30" t="n">
        <v>22799</v>
      </c>
      <c r="F106" s="30" t="n">
        <v>13093</v>
      </c>
      <c r="G106" s="31" t="n">
        <f aca="false">SUM(F106/E106)</f>
        <v>0.574279573665512</v>
      </c>
      <c r="H106" s="31" t="str">
        <f aca="false">IF(G106&gt;69%, "GOOD", "POOR")</f>
        <v>POOR</v>
      </c>
      <c r="I106" s="32" t="n">
        <v>3.3</v>
      </c>
      <c r="J106" s="32" t="n">
        <v>170</v>
      </c>
      <c r="K106" s="32" t="str">
        <f aca="false" t="array" ref="K106:K106">_xlfn.IFS(J106&gt;299,"High HP",J106&gt;99,"Medium HP",J106&lt;100,"Low HP")</f>
        <v>Medium HP</v>
      </c>
      <c r="L106" s="32" t="s">
        <v>64</v>
      </c>
      <c r="M106" s="32" t="n">
        <v>18</v>
      </c>
      <c r="N106" s="32" t="n">
        <v>104.3</v>
      </c>
      <c r="O106" s="32" t="n">
        <v>70.4</v>
      </c>
      <c r="P106" s="32" t="n">
        <v>178</v>
      </c>
      <c r="Q106" s="32" t="n">
        <v>3.821</v>
      </c>
      <c r="R106" s="32" t="n">
        <v>19.4</v>
      </c>
      <c r="S106" s="33" t="n">
        <v>40567</v>
      </c>
    </row>
    <row r="107" customFormat="false" ht="16.15" hidden="true" customHeight="false" outlineLevel="0" collapsed="false">
      <c r="A107" s="27" t="s">
        <v>7</v>
      </c>
      <c r="B107" s="28" t="s">
        <v>162</v>
      </c>
      <c r="C107" s="32" t="n">
        <v>67.88927059</v>
      </c>
      <c r="D107" s="29" t="n">
        <v>65005</v>
      </c>
      <c r="E107" s="30" t="n">
        <v>17890</v>
      </c>
      <c r="F107" s="30" t="n">
        <v>10670</v>
      </c>
      <c r="G107" s="31" t="n">
        <f aca="false">SUM(F107/E107)</f>
        <v>0.596422582448295</v>
      </c>
      <c r="H107" s="31" t="str">
        <f aca="false">IF(G107&gt;69%, "GOOD", "POOR")</f>
        <v>POOR</v>
      </c>
      <c r="I107" s="32" t="n">
        <v>3.3</v>
      </c>
      <c r="J107" s="32" t="n">
        <v>170</v>
      </c>
      <c r="K107" s="32" t="str">
        <f aca="false" t="array" ref="K107:K107">_xlfn.IFS(J107&gt;299,"High HP",J107&gt;99,"Medium HP",J107&lt;100,"Low HP")</f>
        <v>Medium HP</v>
      </c>
      <c r="L107" s="32" t="s">
        <v>64</v>
      </c>
      <c r="M107" s="32" t="n">
        <v>18</v>
      </c>
      <c r="N107" s="32" t="n">
        <v>116.1</v>
      </c>
      <c r="O107" s="32" t="n">
        <v>66.5</v>
      </c>
      <c r="P107" s="32" t="n">
        <v>196.1</v>
      </c>
      <c r="Q107" s="32" t="n">
        <v>3.217</v>
      </c>
      <c r="R107" s="32" t="n">
        <v>19.4</v>
      </c>
      <c r="S107" s="33" t="n">
        <v>40782</v>
      </c>
    </row>
    <row r="108" customFormat="false" ht="16.15" hidden="true" customHeight="false" outlineLevel="0" collapsed="false">
      <c r="A108" s="27" t="s">
        <v>163</v>
      </c>
      <c r="B108" s="28" t="s">
        <v>164</v>
      </c>
      <c r="C108" s="32" t="n">
        <v>60.86161155</v>
      </c>
      <c r="D108" s="29" t="n">
        <v>1112</v>
      </c>
      <c r="E108" s="30" t="n">
        <v>18145</v>
      </c>
      <c r="F108" s="30" t="n">
        <v>11240</v>
      </c>
      <c r="G108" s="31" t="n">
        <f aca="false">SUM(F108/E108)</f>
        <v>0.619454395150179</v>
      </c>
      <c r="H108" s="31" t="str">
        <f aca="false">IF(G108&gt;69%, "GOOD", "POOR")</f>
        <v>POOR</v>
      </c>
      <c r="I108" s="32" t="n">
        <v>3.1</v>
      </c>
      <c r="J108" s="32" t="n">
        <v>150</v>
      </c>
      <c r="K108" s="32" t="str">
        <f aca="false" t="array" ref="K108:K108">_xlfn.IFS(J108&gt;299,"High HP",J108&gt;99,"Medium HP",J108&lt;100,"Low HP")</f>
        <v>Medium HP</v>
      </c>
      <c r="L108" s="32" t="s">
        <v>42</v>
      </c>
      <c r="M108" s="32" t="n">
        <v>25</v>
      </c>
      <c r="N108" s="32" t="n">
        <v>107</v>
      </c>
      <c r="O108" s="32" t="n">
        <v>69.4</v>
      </c>
      <c r="P108" s="32" t="n">
        <v>192</v>
      </c>
      <c r="Q108" s="32" t="n">
        <v>3.102</v>
      </c>
      <c r="R108" s="32" t="n">
        <v>15.2</v>
      </c>
      <c r="S108" s="33" t="n">
        <v>40694</v>
      </c>
    </row>
    <row r="109" customFormat="false" ht="16.15" hidden="true" customHeight="false" outlineLevel="0" collapsed="false">
      <c r="A109" s="27" t="s">
        <v>163</v>
      </c>
      <c r="B109" s="28" t="s">
        <v>165</v>
      </c>
      <c r="C109" s="32" t="n">
        <v>86.27252291</v>
      </c>
      <c r="D109" s="29" t="n">
        <v>38554</v>
      </c>
      <c r="E109" s="30" t="n">
        <v>24150</v>
      </c>
      <c r="F109" s="30" t="n">
        <v>17100</v>
      </c>
      <c r="G109" s="31" t="n">
        <f aca="false">SUM(F109/E109)</f>
        <v>0.708074534161491</v>
      </c>
      <c r="H109" s="31" t="str">
        <f aca="false">IF(G109&gt;69%, "GOOD", "POOR")</f>
        <v>GOOD</v>
      </c>
      <c r="I109" s="32" t="n">
        <v>3.5</v>
      </c>
      <c r="J109" s="32" t="n">
        <v>215</v>
      </c>
      <c r="K109" s="32" t="str">
        <f aca="false" t="array" ref="K109:K109">_xlfn.IFS(J109&gt;299,"High HP",J109&gt;99,"Medium HP",J109&lt;100,"Low HP")</f>
        <v>Medium HP</v>
      </c>
      <c r="L109" s="32" t="s">
        <v>42</v>
      </c>
      <c r="M109" s="32" t="n">
        <v>23</v>
      </c>
      <c r="N109" s="32" t="n">
        <v>109</v>
      </c>
      <c r="O109" s="32" t="n">
        <v>73.6</v>
      </c>
      <c r="P109" s="32" t="n">
        <v>195.9</v>
      </c>
      <c r="Q109" s="32" t="n">
        <v>3.455</v>
      </c>
      <c r="R109" s="32" t="n">
        <v>18</v>
      </c>
      <c r="S109" s="33" t="n">
        <v>40634</v>
      </c>
    </row>
    <row r="110" customFormat="false" ht="16.15" hidden="true" customHeight="false" outlineLevel="0" collapsed="false">
      <c r="A110" s="27" t="s">
        <v>163</v>
      </c>
      <c r="B110" s="28" t="s">
        <v>166</v>
      </c>
      <c r="C110" s="32" t="n">
        <v>60.72744693</v>
      </c>
      <c r="D110" s="29" t="n">
        <v>80255</v>
      </c>
      <c r="E110" s="30" t="n">
        <v>18270</v>
      </c>
      <c r="F110" s="30" t="n">
        <v>11459</v>
      </c>
      <c r="G110" s="31" t="n">
        <f aca="false">SUM(F110/E110)</f>
        <v>0.6272030651341</v>
      </c>
      <c r="H110" s="31" t="str">
        <f aca="false">IF(G110&gt;69%, "GOOD", "POOR")</f>
        <v>POOR</v>
      </c>
      <c r="I110" s="32" t="n">
        <v>2.4</v>
      </c>
      <c r="J110" s="32" t="n">
        <v>150</v>
      </c>
      <c r="K110" s="32" t="str">
        <f aca="false" t="array" ref="K110:K110">_xlfn.IFS(J110&gt;299,"High HP",J110&gt;99,"Medium HP",J110&lt;100,"Low HP")</f>
        <v>Medium HP</v>
      </c>
      <c r="L110" s="32" t="s">
        <v>42</v>
      </c>
      <c r="M110" s="32" t="n">
        <v>27</v>
      </c>
      <c r="N110" s="32" t="n">
        <v>107</v>
      </c>
      <c r="O110" s="32" t="n">
        <v>70.1</v>
      </c>
      <c r="P110" s="32" t="n">
        <v>186.7</v>
      </c>
      <c r="Q110" s="32" t="n">
        <v>2.958</v>
      </c>
      <c r="R110" s="32" t="n">
        <v>15</v>
      </c>
      <c r="S110" s="33" t="n">
        <v>40106</v>
      </c>
    </row>
    <row r="111" customFormat="false" ht="16.15" hidden="true" customHeight="false" outlineLevel="0" collapsed="false">
      <c r="A111" s="27" t="s">
        <v>163</v>
      </c>
      <c r="B111" s="28" t="s">
        <v>167</v>
      </c>
      <c r="C111" s="32" t="n">
        <v>103.4416926</v>
      </c>
      <c r="D111" s="29" t="n">
        <v>14690</v>
      </c>
      <c r="E111" s="30" t="n">
        <v>36229</v>
      </c>
      <c r="F111" s="30" t="n">
        <v>19890</v>
      </c>
      <c r="G111" s="31" t="n">
        <f aca="false">SUM(F111/E111)</f>
        <v>0.549007701013001</v>
      </c>
      <c r="H111" s="31" t="str">
        <f aca="false">IF(G111&gt;69%, "GOOD", "POOR")</f>
        <v>POOR</v>
      </c>
      <c r="I111" s="32" t="n">
        <v>4</v>
      </c>
      <c r="J111" s="32" t="n">
        <v>250</v>
      </c>
      <c r="K111" s="32" t="str">
        <f aca="false" t="array" ref="K111:K111">_xlfn.IFS(J111&gt;299,"High HP",J111&gt;99,"Medium HP",J111&lt;100,"Low HP")</f>
        <v>Medium HP</v>
      </c>
      <c r="L111" s="32" t="s">
        <v>42</v>
      </c>
      <c r="M111" s="32" t="n">
        <v>22</v>
      </c>
      <c r="N111" s="32" t="n">
        <v>113.8</v>
      </c>
      <c r="O111" s="32" t="n">
        <v>74.4</v>
      </c>
      <c r="P111" s="32" t="n">
        <v>205.4</v>
      </c>
      <c r="Q111" s="32" t="n">
        <v>3.967</v>
      </c>
      <c r="R111" s="32" t="n">
        <v>18.5</v>
      </c>
      <c r="S111" s="33" t="n">
        <v>40592</v>
      </c>
    </row>
    <row r="112" customFormat="false" ht="16.15" hidden="true" customHeight="false" outlineLevel="0" collapsed="false">
      <c r="A112" s="27" t="s">
        <v>163</v>
      </c>
      <c r="B112" s="28" t="s">
        <v>168</v>
      </c>
      <c r="C112" s="32" t="n">
        <v>80.51167259</v>
      </c>
      <c r="D112" s="29" t="n">
        <v>20017</v>
      </c>
      <c r="E112" s="30" t="n">
        <v>31598</v>
      </c>
      <c r="F112" s="30" t="n">
        <v>19925</v>
      </c>
      <c r="G112" s="31" t="n">
        <f aca="false">SUM(F112/E112)</f>
        <v>0.630577884676245</v>
      </c>
      <c r="H112" s="31" t="str">
        <f aca="false">IF(G112&gt;69%, "GOOD", "POOR")</f>
        <v>POOR</v>
      </c>
      <c r="I112" s="32" t="n">
        <v>4.3</v>
      </c>
      <c r="J112" s="32" t="n">
        <v>190</v>
      </c>
      <c r="K112" s="32" t="str">
        <f aca="false" t="array" ref="K112:K112">_xlfn.IFS(J112&gt;299,"High HP",J112&gt;99,"Medium HP",J112&lt;100,"Low HP")</f>
        <v>Medium HP</v>
      </c>
      <c r="L112" s="32" t="s">
        <v>64</v>
      </c>
      <c r="M112" s="32" t="n">
        <v>19</v>
      </c>
      <c r="N112" s="32" t="n">
        <v>107</v>
      </c>
      <c r="O112" s="32" t="n">
        <v>67.8</v>
      </c>
      <c r="P112" s="32" t="n">
        <v>181.2</v>
      </c>
      <c r="Q112" s="32" t="n">
        <v>4.068</v>
      </c>
      <c r="R112" s="32" t="n">
        <v>17.5</v>
      </c>
      <c r="S112" s="33" t="n">
        <v>40807</v>
      </c>
    </row>
    <row r="113" customFormat="false" ht="16.15" hidden="true" customHeight="false" outlineLevel="0" collapsed="false">
      <c r="A113" s="27" t="s">
        <v>163</v>
      </c>
      <c r="B113" s="28" t="s">
        <v>169</v>
      </c>
      <c r="C113" s="32" t="n">
        <v>76.09657042</v>
      </c>
      <c r="D113" s="29" t="n">
        <v>24361</v>
      </c>
      <c r="E113" s="30" t="n">
        <v>25345</v>
      </c>
      <c r="F113" s="30" t="n">
        <v>15240</v>
      </c>
      <c r="G113" s="31" t="n">
        <f aca="false">SUM(F113/E113)</f>
        <v>0.601302031958966</v>
      </c>
      <c r="H113" s="31" t="str">
        <f aca="false">IF(G113&gt;69%, "GOOD", "POOR")</f>
        <v>POOR</v>
      </c>
      <c r="I113" s="32" t="n">
        <v>3.4</v>
      </c>
      <c r="J113" s="32" t="n">
        <v>185</v>
      </c>
      <c r="K113" s="32" t="str">
        <f aca="false" t="array" ref="K113:K113">_xlfn.IFS(J113&gt;299,"High HP",J113&gt;99,"Medium HP",J113&lt;100,"Low HP")</f>
        <v>Medium HP</v>
      </c>
      <c r="L113" s="32" t="s">
        <v>64</v>
      </c>
      <c r="M113" s="32" t="n">
        <v>22</v>
      </c>
      <c r="N113" s="32" t="n">
        <v>120</v>
      </c>
      <c r="O113" s="32" t="n">
        <v>72.2</v>
      </c>
      <c r="P113" s="32" t="n">
        <v>201.4</v>
      </c>
      <c r="Q113" s="32" t="n">
        <v>3.948</v>
      </c>
      <c r="R113" s="32" t="n">
        <v>25</v>
      </c>
      <c r="S113" s="33" t="n">
        <v>40719</v>
      </c>
    </row>
    <row r="114" customFormat="false" ht="16.15" hidden="true" customHeight="false" outlineLevel="0" collapsed="false">
      <c r="A114" s="27" t="s">
        <v>170</v>
      </c>
      <c r="B114" s="28" t="s">
        <v>83</v>
      </c>
      <c r="C114" s="32" t="n">
        <v>52.08489875</v>
      </c>
      <c r="D114" s="29" t="n">
        <v>32734</v>
      </c>
      <c r="E114" s="30" t="n">
        <v>12640</v>
      </c>
      <c r="F114" s="30" t="n">
        <v>7750</v>
      </c>
      <c r="G114" s="31" t="n">
        <f aca="false">SUM(F114/E114)</f>
        <v>0.613132911392405</v>
      </c>
      <c r="H114" s="31" t="str">
        <f aca="false">IF(G114&gt;69%, "GOOD", "POOR")</f>
        <v>POOR</v>
      </c>
      <c r="I114" s="32" t="n">
        <v>2</v>
      </c>
      <c r="J114" s="32" t="n">
        <v>132</v>
      </c>
      <c r="K114" s="32" t="str">
        <f aca="false" t="array" ref="K114:K114">_xlfn.IFS(J114&gt;299,"High HP",J114&gt;99,"Medium HP",J114&lt;100,"Low HP")</f>
        <v>Medium HP</v>
      </c>
      <c r="L114" s="32" t="s">
        <v>42</v>
      </c>
      <c r="M114" s="32" t="n">
        <v>29</v>
      </c>
      <c r="N114" s="32" t="n">
        <v>105</v>
      </c>
      <c r="O114" s="32" t="n">
        <v>74.4</v>
      </c>
      <c r="P114" s="32" t="n">
        <v>174.4</v>
      </c>
      <c r="Q114" s="32" t="n">
        <v>2.559</v>
      </c>
      <c r="R114" s="32" t="n">
        <v>12.5</v>
      </c>
      <c r="S114" s="33" t="n">
        <v>40659</v>
      </c>
    </row>
    <row r="115" customFormat="false" ht="16.15" hidden="true" customHeight="false" outlineLevel="0" collapsed="false">
      <c r="A115" s="27" t="s">
        <v>170</v>
      </c>
      <c r="B115" s="28" t="s">
        <v>171</v>
      </c>
      <c r="C115" s="32" t="n">
        <v>53.41189767</v>
      </c>
      <c r="D115" s="29" t="n">
        <v>5240</v>
      </c>
      <c r="E115" s="30" t="n">
        <v>16080</v>
      </c>
      <c r="F115" s="30" t="n">
        <v>9800</v>
      </c>
      <c r="G115" s="31" t="n">
        <f aca="false">SUM(F115/E115)</f>
        <v>0.609452736318408</v>
      </c>
      <c r="H115" s="31" t="str">
        <f aca="false">IF(G115&gt;69%, "GOOD", "POOR")</f>
        <v>POOR</v>
      </c>
      <c r="I115" s="32" t="n">
        <v>2</v>
      </c>
      <c r="J115" s="32" t="n">
        <v>132</v>
      </c>
      <c r="K115" s="32" t="str">
        <f aca="false" t="array" ref="K115:K115">_xlfn.IFS(J115&gt;299,"High HP",J115&gt;99,"Medium HP",J115&lt;100,"Low HP")</f>
        <v>Medium HP</v>
      </c>
      <c r="L115" s="32" t="s">
        <v>42</v>
      </c>
      <c r="M115" s="32" t="n">
        <v>27</v>
      </c>
      <c r="N115" s="32" t="n">
        <v>108</v>
      </c>
      <c r="O115" s="32" t="n">
        <v>71</v>
      </c>
      <c r="P115" s="32" t="n">
        <v>186.3</v>
      </c>
      <c r="Q115" s="32" t="n">
        <v>2.942</v>
      </c>
      <c r="R115" s="32" t="n">
        <v>16</v>
      </c>
      <c r="S115" s="33" t="n">
        <v>40861</v>
      </c>
    </row>
    <row r="116" customFormat="false" ht="16.15" hidden="true" customHeight="false" outlineLevel="0" collapsed="false">
      <c r="A116" s="27" t="s">
        <v>170</v>
      </c>
      <c r="B116" s="28" t="s">
        <v>172</v>
      </c>
      <c r="C116" s="32" t="n">
        <v>60.95118512</v>
      </c>
      <c r="D116" s="29" t="n">
        <v>24155</v>
      </c>
      <c r="E116" s="30" t="n">
        <v>18850</v>
      </c>
      <c r="F116" s="30" t="n">
        <v>12025</v>
      </c>
      <c r="G116" s="31" t="n">
        <f aca="false">SUM(F116/E116)</f>
        <v>0.637931034482759</v>
      </c>
      <c r="H116" s="31" t="str">
        <f aca="false">IF(G116&gt;69%, "GOOD", "POOR")</f>
        <v>POOR</v>
      </c>
      <c r="I116" s="32" t="n">
        <v>2.4</v>
      </c>
      <c r="J116" s="32" t="n">
        <v>150</v>
      </c>
      <c r="K116" s="32" t="str">
        <f aca="false" t="array" ref="K116:K116">_xlfn.IFS(J116&gt;299,"High HP",J116&gt;99,"Medium HP",J116&lt;100,"Low HP")</f>
        <v>Medium HP</v>
      </c>
      <c r="L116" s="32" t="s">
        <v>64</v>
      </c>
      <c r="M116" s="32" t="n">
        <v>24</v>
      </c>
      <c r="N116" s="32" t="n">
        <v>113.3</v>
      </c>
      <c r="O116" s="32" t="n">
        <v>76.8</v>
      </c>
      <c r="P116" s="32" t="n">
        <v>186.3</v>
      </c>
      <c r="Q116" s="32" t="n">
        <v>3.528</v>
      </c>
      <c r="R116" s="32" t="n">
        <v>20</v>
      </c>
      <c r="S116" s="33" t="n">
        <v>40657</v>
      </c>
    </row>
    <row r="117" customFormat="false" ht="16.15" hidden="true" customHeight="false" outlineLevel="0" collapsed="false">
      <c r="A117" s="27" t="s">
        <v>170</v>
      </c>
      <c r="B117" s="28" t="s">
        <v>173</v>
      </c>
      <c r="C117" s="32" t="n">
        <v>106.9844563</v>
      </c>
      <c r="D117" s="29" t="n">
        <v>1872</v>
      </c>
      <c r="E117" s="30" t="n">
        <v>43000</v>
      </c>
      <c r="F117" s="30" t="n">
        <v>30434</v>
      </c>
      <c r="G117" s="31" t="n">
        <f aca="false">SUM(F117/E117)</f>
        <v>0.707767441860465</v>
      </c>
      <c r="H117" s="31" t="str">
        <f aca="false">IF(G117&gt;69%, "GOOD", "POOR")</f>
        <v>GOOD</v>
      </c>
      <c r="I117" s="32" t="n">
        <v>3.5</v>
      </c>
      <c r="J117" s="32" t="n">
        <v>253</v>
      </c>
      <c r="K117" s="32" t="str">
        <f aca="false" t="array" ref="K117:K117">_xlfn.IFS(J117&gt;299,"High HP",J117&gt;99,"Medium HP",J117&lt;100,"Low HP")</f>
        <v>Medium HP</v>
      </c>
      <c r="L117" s="32" t="s">
        <v>42</v>
      </c>
      <c r="M117" s="32" t="n">
        <v>21</v>
      </c>
      <c r="N117" s="32" t="n">
        <v>113.3</v>
      </c>
      <c r="O117" s="32" t="n">
        <v>76.3</v>
      </c>
      <c r="P117" s="32" t="n">
        <v>165.4</v>
      </c>
      <c r="Q117" s="32" t="n">
        <v>2.85</v>
      </c>
      <c r="R117" s="32" t="n">
        <v>12</v>
      </c>
      <c r="S117" s="33" t="n">
        <v>41087</v>
      </c>
    </row>
    <row r="118" customFormat="false" ht="16.15" hidden="true" customHeight="false" outlineLevel="0" collapsed="false">
      <c r="A118" s="27" t="s">
        <v>174</v>
      </c>
      <c r="B118" s="28" t="s">
        <v>175</v>
      </c>
      <c r="C118" s="32" t="n">
        <v>62.0158703</v>
      </c>
      <c r="D118" s="29" t="n">
        <v>51645</v>
      </c>
      <c r="E118" s="30" t="n">
        <v>21610</v>
      </c>
      <c r="F118" s="30" t="n">
        <v>13790</v>
      </c>
      <c r="G118" s="31" t="n">
        <f aca="false">SUM(F118/E118)</f>
        <v>0.638130495141138</v>
      </c>
      <c r="H118" s="31" t="str">
        <f aca="false">IF(G118&gt;69%, "GOOD", "POOR")</f>
        <v>POOR</v>
      </c>
      <c r="I118" s="32" t="n">
        <v>2.4</v>
      </c>
      <c r="J118" s="32" t="n">
        <v>150</v>
      </c>
      <c r="K118" s="32" t="str">
        <f aca="false" t="array" ref="K118:K118">_xlfn.IFS(J118&gt;299,"High HP",J118&gt;99,"Medium HP",J118&lt;100,"Low HP")</f>
        <v>Medium HP</v>
      </c>
      <c r="L118" s="32" t="s">
        <v>42</v>
      </c>
      <c r="M118" s="32" t="n">
        <v>27</v>
      </c>
      <c r="N118" s="32" t="n">
        <v>104.1</v>
      </c>
      <c r="O118" s="32" t="n">
        <v>68.4</v>
      </c>
      <c r="P118" s="32" t="n">
        <v>181.9</v>
      </c>
      <c r="Q118" s="32" t="n">
        <v>2.906</v>
      </c>
      <c r="R118" s="32" t="n">
        <v>15</v>
      </c>
      <c r="S118" s="33" t="n">
        <v>40933</v>
      </c>
    </row>
    <row r="119" customFormat="false" ht="16.15" hidden="true" customHeight="false" outlineLevel="0" collapsed="false">
      <c r="A119" s="27" t="s">
        <v>174</v>
      </c>
      <c r="B119" s="28" t="s">
        <v>176</v>
      </c>
      <c r="C119" s="32" t="n">
        <v>70.38973726</v>
      </c>
      <c r="D119" s="29" t="n">
        <v>131097</v>
      </c>
      <c r="E119" s="30" t="n">
        <v>19720</v>
      </c>
      <c r="F119" s="30" t="n">
        <v>10290</v>
      </c>
      <c r="G119" s="31" t="n">
        <f aca="false">SUM(F119/E119)</f>
        <v>0.521805273833671</v>
      </c>
      <c r="H119" s="31" t="str">
        <f aca="false">IF(G119&gt;69%, "GOOD", "POOR")</f>
        <v>POOR</v>
      </c>
      <c r="I119" s="32" t="n">
        <v>3.4</v>
      </c>
      <c r="J119" s="32" t="n">
        <v>175</v>
      </c>
      <c r="K119" s="32" t="str">
        <f aca="false" t="array" ref="K119:K119">_xlfn.IFS(J119&gt;299,"High HP",J119&gt;99,"Medium HP",J119&lt;100,"Low HP")</f>
        <v>Medium HP</v>
      </c>
      <c r="L119" s="32" t="s">
        <v>42</v>
      </c>
      <c r="M119" s="32" t="n">
        <v>25</v>
      </c>
      <c r="N119" s="32" t="n">
        <v>107</v>
      </c>
      <c r="O119" s="32" t="n">
        <v>70.4</v>
      </c>
      <c r="P119" s="32" t="n">
        <v>186.3</v>
      </c>
      <c r="Q119" s="32" t="n">
        <v>3.091</v>
      </c>
      <c r="R119" s="32" t="n">
        <v>15.2</v>
      </c>
      <c r="S119" s="33" t="n">
        <v>41239</v>
      </c>
    </row>
    <row r="120" customFormat="false" ht="16.15" hidden="true" customHeight="false" outlineLevel="0" collapsed="false">
      <c r="A120" s="27" t="s">
        <v>174</v>
      </c>
      <c r="B120" s="28" t="s">
        <v>177</v>
      </c>
      <c r="C120" s="32" t="n">
        <v>81.49272616</v>
      </c>
      <c r="D120" s="29" t="n">
        <v>19911</v>
      </c>
      <c r="E120" s="30" t="n">
        <v>25310</v>
      </c>
      <c r="F120" s="30" t="n">
        <v>17805</v>
      </c>
      <c r="G120" s="31" t="n">
        <f aca="false">SUM(F120/E120)</f>
        <v>0.703476886606085</v>
      </c>
      <c r="H120" s="31" t="str">
        <f aca="false">IF(G120&gt;69%, "GOOD", "POOR")</f>
        <v>GOOD</v>
      </c>
      <c r="I120" s="32" t="n">
        <v>3.8</v>
      </c>
      <c r="J120" s="32" t="n">
        <v>200</v>
      </c>
      <c r="K120" s="32" t="str">
        <f aca="false" t="array" ref="K120:K120">_xlfn.IFS(J120&gt;299,"High HP",J120&gt;99,"Medium HP",J120&lt;100,"Low HP")</f>
        <v>Medium HP</v>
      </c>
      <c r="L120" s="32" t="s">
        <v>42</v>
      </c>
      <c r="M120" s="32" t="n">
        <v>25</v>
      </c>
      <c r="N120" s="32" t="n">
        <v>101.1</v>
      </c>
      <c r="O120" s="32" t="n">
        <v>74.5</v>
      </c>
      <c r="P120" s="32" t="n">
        <v>193.4</v>
      </c>
      <c r="Q120" s="32" t="n">
        <v>3.492</v>
      </c>
      <c r="R120" s="32" t="n">
        <v>16.8</v>
      </c>
      <c r="S120" s="33" t="n">
        <v>41076</v>
      </c>
    </row>
    <row r="121" customFormat="false" ht="16.15" hidden="true" customHeight="false" outlineLevel="0" collapsed="false">
      <c r="A121" s="27" t="s">
        <v>174</v>
      </c>
      <c r="B121" s="28" t="s">
        <v>178</v>
      </c>
      <c r="C121" s="32" t="n">
        <v>78.31816813</v>
      </c>
      <c r="D121" s="29" t="n">
        <v>92364</v>
      </c>
      <c r="E121" s="30" t="n">
        <v>21665</v>
      </c>
      <c r="F121" s="30" t="n">
        <v>14010</v>
      </c>
      <c r="G121" s="31" t="n">
        <f aca="false">SUM(F121/E121)</f>
        <v>0.646665128086776</v>
      </c>
      <c r="H121" s="31" t="str">
        <f aca="false">IF(G121&gt;69%, "GOOD", "POOR")</f>
        <v>POOR</v>
      </c>
      <c r="I121" s="32" t="n">
        <v>3.8</v>
      </c>
      <c r="J121" s="32" t="n">
        <v>195</v>
      </c>
      <c r="K121" s="32" t="str">
        <f aca="false" t="array" ref="K121:K121">_xlfn.IFS(J121&gt;299,"High HP",J121&gt;99,"Medium HP",J121&lt;100,"Low HP")</f>
        <v>Medium HP</v>
      </c>
      <c r="L121" s="32" t="s">
        <v>42</v>
      </c>
      <c r="M121" s="32" t="n">
        <v>25</v>
      </c>
      <c r="N121" s="32" t="n">
        <v>110.5</v>
      </c>
      <c r="O121" s="32" t="n">
        <v>72.7</v>
      </c>
      <c r="P121" s="32" t="n">
        <v>196.5</v>
      </c>
      <c r="Q121" s="32" t="n">
        <v>3.396</v>
      </c>
      <c r="R121" s="32" t="n">
        <v>18</v>
      </c>
      <c r="S121" s="33" t="n">
        <v>41197</v>
      </c>
    </row>
    <row r="122" customFormat="false" ht="16.15" hidden="true" customHeight="false" outlineLevel="0" collapsed="false">
      <c r="A122" s="27" t="s">
        <v>174</v>
      </c>
      <c r="B122" s="28" t="s">
        <v>179</v>
      </c>
      <c r="C122" s="32" t="n">
        <v>82.6613556</v>
      </c>
      <c r="D122" s="29" t="n">
        <v>35945</v>
      </c>
      <c r="E122" s="30" t="n">
        <v>23755</v>
      </c>
      <c r="F122" s="30" t="n">
        <v>13225</v>
      </c>
      <c r="G122" s="31" t="n">
        <f aca="false">SUM(F122/E122)</f>
        <v>0.556724900021048</v>
      </c>
      <c r="H122" s="31" t="str">
        <f aca="false">IF(G122&gt;69%, "GOOD", "POOR")</f>
        <v>POOR</v>
      </c>
      <c r="I122" s="32" t="n">
        <v>3.8</v>
      </c>
      <c r="J122" s="32" t="n">
        <v>205</v>
      </c>
      <c r="K122" s="32" t="str">
        <f aca="false" t="array" ref="K122:K122">_xlfn.IFS(J122&gt;299,"High HP",J122&gt;99,"Medium HP",J122&lt;100,"Low HP")</f>
        <v>Medium HP</v>
      </c>
      <c r="L122" s="32" t="s">
        <v>42</v>
      </c>
      <c r="M122" s="32" t="n">
        <v>24</v>
      </c>
      <c r="N122" s="32" t="n">
        <v>112.2</v>
      </c>
      <c r="O122" s="32" t="n">
        <v>72.6</v>
      </c>
      <c r="P122" s="32" t="n">
        <v>202.5</v>
      </c>
      <c r="Q122" s="32" t="n">
        <v>3.59</v>
      </c>
      <c r="R122" s="32" t="n">
        <v>17.5</v>
      </c>
      <c r="S122" s="33" t="n">
        <v>40681</v>
      </c>
    </row>
    <row r="123" customFormat="false" ht="16.15" hidden="true" customHeight="false" outlineLevel="0" collapsed="false">
      <c r="A123" s="27" t="s">
        <v>174</v>
      </c>
      <c r="B123" s="28" t="s">
        <v>180</v>
      </c>
      <c r="C123" s="32" t="n">
        <v>76.20843952</v>
      </c>
      <c r="D123" s="29" t="n">
        <v>39572</v>
      </c>
      <c r="E123" s="30" t="n">
        <v>25635</v>
      </c>
      <c r="F123" s="30" t="n">
        <v>14215</v>
      </c>
      <c r="G123" s="31" t="n">
        <f aca="false">SUM(F123/E123)</f>
        <v>0.554515311098108</v>
      </c>
      <c r="H123" s="31" t="str">
        <f aca="false">IF(G123&gt;69%, "GOOD", "POOR")</f>
        <v>POOR</v>
      </c>
      <c r="I123" s="32" t="n">
        <v>3.4</v>
      </c>
      <c r="J123" s="32" t="n">
        <v>185</v>
      </c>
      <c r="K123" s="32" t="str">
        <f aca="false" t="array" ref="K123:K123">_xlfn.IFS(J123&gt;299,"High HP",J123&gt;99,"Medium HP",J123&lt;100,"Low HP")</f>
        <v>Medium HP</v>
      </c>
      <c r="L123" s="32" t="s">
        <v>64</v>
      </c>
      <c r="M123" s="32" t="n">
        <v>23</v>
      </c>
      <c r="N123" s="32" t="n">
        <v>120</v>
      </c>
      <c r="O123" s="32" t="n">
        <v>72.7</v>
      </c>
      <c r="P123" s="32" t="n">
        <v>201.3</v>
      </c>
      <c r="Q123" s="32" t="n">
        <v>3.942</v>
      </c>
      <c r="R123" s="32" t="n">
        <v>25</v>
      </c>
      <c r="S123" s="33" t="n">
        <v>41112</v>
      </c>
    </row>
    <row r="124" customFormat="false" ht="16.15" hidden="true" customHeight="false" outlineLevel="0" collapsed="false">
      <c r="A124" s="27" t="s">
        <v>181</v>
      </c>
      <c r="B124" s="28" t="s">
        <v>182</v>
      </c>
      <c r="C124" s="32" t="n">
        <v>93.4373307</v>
      </c>
      <c r="D124" s="29" t="n">
        <v>8982</v>
      </c>
      <c r="E124" s="30" t="n">
        <v>41430</v>
      </c>
      <c r="F124" s="30" t="n">
        <v>41250</v>
      </c>
      <c r="G124" s="31" t="n">
        <f aca="false">SUM(F124/E124)</f>
        <v>0.995655322230268</v>
      </c>
      <c r="H124" s="31" t="str">
        <f aca="false">IF(G124&gt;69%, "GOOD", "POOR")</f>
        <v>GOOD</v>
      </c>
      <c r="I124" s="32" t="n">
        <v>2.7</v>
      </c>
      <c r="J124" s="32" t="n">
        <v>217</v>
      </c>
      <c r="K124" s="32" t="str">
        <f aca="false" t="array" ref="K124:K124">_xlfn.IFS(J124&gt;299,"High HP",J124&gt;99,"Medium HP",J124&lt;100,"Low HP")</f>
        <v>Medium HP</v>
      </c>
      <c r="L124" s="32" t="s">
        <v>42</v>
      </c>
      <c r="M124" s="32" t="n">
        <v>22</v>
      </c>
      <c r="N124" s="32" t="n">
        <v>95.2</v>
      </c>
      <c r="O124" s="32" t="n">
        <v>70.1</v>
      </c>
      <c r="P124" s="32" t="n">
        <v>171</v>
      </c>
      <c r="Q124" s="32" t="n">
        <v>2.778</v>
      </c>
      <c r="R124" s="32" t="n">
        <v>17</v>
      </c>
      <c r="S124" s="33" t="n">
        <v>40958</v>
      </c>
    </row>
    <row r="125" customFormat="false" ht="16.15" hidden="true" customHeight="false" outlineLevel="0" collapsed="false">
      <c r="A125" s="27" t="s">
        <v>181</v>
      </c>
      <c r="B125" s="28" t="s">
        <v>183</v>
      </c>
      <c r="C125" s="32" t="n">
        <v>134.3909754</v>
      </c>
      <c r="D125" s="29" t="n">
        <v>1280</v>
      </c>
      <c r="E125" s="30" t="n">
        <v>71020</v>
      </c>
      <c r="F125" s="30" t="n">
        <v>60625</v>
      </c>
      <c r="G125" s="31" t="n">
        <f aca="false">SUM(F125/E125)</f>
        <v>0.853632779498733</v>
      </c>
      <c r="H125" s="31" t="str">
        <f aca="false">IF(G125&gt;69%, "GOOD", "POOR")</f>
        <v>GOOD</v>
      </c>
      <c r="I125" s="32" t="n">
        <v>3.4</v>
      </c>
      <c r="J125" s="32" t="n">
        <v>300</v>
      </c>
      <c r="K125" s="32" t="str">
        <f aca="false" t="array" ref="K125:K125">_xlfn.IFS(J125&gt;299,"High HP",J125&gt;99,"Medium HP",J125&lt;100,"Low HP")</f>
        <v>High HP</v>
      </c>
      <c r="L125" s="32" t="s">
        <v>42</v>
      </c>
      <c r="M125" s="32" t="n">
        <v>21</v>
      </c>
      <c r="N125" s="32" t="n">
        <v>92.6</v>
      </c>
      <c r="O125" s="32" t="n">
        <v>69.5</v>
      </c>
      <c r="P125" s="32" t="n">
        <v>174.5</v>
      </c>
      <c r="Q125" s="32" t="n">
        <v>3.032</v>
      </c>
      <c r="R125" s="32" t="n">
        <v>17</v>
      </c>
      <c r="S125" s="33" t="n">
        <v>41264</v>
      </c>
    </row>
    <row r="126" customFormat="false" ht="16.15" hidden="true" customHeight="false" outlineLevel="0" collapsed="false">
      <c r="A126" s="27" t="s">
        <v>181</v>
      </c>
      <c r="B126" s="28" t="s">
        <v>184</v>
      </c>
      <c r="C126" s="32" t="n">
        <v>135.9147096</v>
      </c>
      <c r="D126" s="29" t="n">
        <v>1866</v>
      </c>
      <c r="E126" s="30" t="n">
        <v>74970</v>
      </c>
      <c r="F126" s="30" t="n">
        <v>67550</v>
      </c>
      <c r="G126" s="31" t="n">
        <f aca="false">SUM(F126/E126)</f>
        <v>0.901027077497666</v>
      </c>
      <c r="H126" s="31" t="str">
        <f aca="false">IF(G126&gt;69%, "GOOD", "POOR")</f>
        <v>GOOD</v>
      </c>
      <c r="I126" s="32" t="n">
        <v>3.4</v>
      </c>
      <c r="J126" s="32" t="n">
        <v>300</v>
      </c>
      <c r="K126" s="32" t="str">
        <f aca="false" t="array" ref="K126:K126">_xlfn.IFS(J126&gt;299,"High HP",J126&gt;99,"Medium HP",J126&lt;100,"Low HP")</f>
        <v>High HP</v>
      </c>
      <c r="L126" s="32" t="s">
        <v>42</v>
      </c>
      <c r="M126" s="32" t="n">
        <v>23</v>
      </c>
      <c r="N126" s="32" t="n">
        <v>92.6</v>
      </c>
      <c r="O126" s="32" t="n">
        <v>69.5</v>
      </c>
      <c r="P126" s="32" t="n">
        <v>174.5</v>
      </c>
      <c r="Q126" s="32" t="n">
        <v>3.075</v>
      </c>
      <c r="R126" s="32" t="n">
        <v>17</v>
      </c>
      <c r="S126" s="33" t="n">
        <v>40735</v>
      </c>
    </row>
    <row r="127" customFormat="false" ht="16.15" hidden="true" customHeight="false" outlineLevel="0" collapsed="false">
      <c r="A127" s="27" t="s">
        <v>185</v>
      </c>
      <c r="B127" s="37" t="s">
        <v>186</v>
      </c>
      <c r="C127" s="32" t="n">
        <v>73.50377819</v>
      </c>
      <c r="D127" s="29" t="n">
        <v>9191</v>
      </c>
      <c r="E127" s="30" t="n">
        <v>33120</v>
      </c>
      <c r="F127" s="30" t="n">
        <v>22789</v>
      </c>
      <c r="G127" s="31" t="n">
        <f aca="false">SUM(F127/E127)</f>
        <v>0.688073671497585</v>
      </c>
      <c r="H127" s="31" t="str">
        <f aca="false">IF(G127&gt;69%, "GOOD", "POOR")</f>
        <v>POOR</v>
      </c>
      <c r="I127" s="32" t="n">
        <v>2.3</v>
      </c>
      <c r="J127" s="32" t="n">
        <v>170</v>
      </c>
      <c r="K127" s="32" t="str">
        <f aca="false" t="array" ref="K127:K127">_xlfn.IFS(J127&gt;299,"High HP",J127&gt;99,"Medium HP",J127&lt;100,"Low HP")</f>
        <v>Medium HP</v>
      </c>
      <c r="L127" s="32" t="s">
        <v>42</v>
      </c>
      <c r="M127" s="32" t="n">
        <v>23</v>
      </c>
      <c r="N127" s="32" t="n">
        <v>106.4</v>
      </c>
      <c r="O127" s="32" t="n">
        <v>70.6</v>
      </c>
      <c r="P127" s="32" t="n">
        <v>189.2</v>
      </c>
      <c r="Q127" s="32" t="n">
        <v>3.28</v>
      </c>
      <c r="R127" s="32" t="n">
        <v>18.5</v>
      </c>
      <c r="S127" s="33" t="n">
        <v>41222</v>
      </c>
    </row>
    <row r="128" customFormat="false" ht="16.15" hidden="true" customHeight="false" outlineLevel="0" collapsed="false">
      <c r="A128" s="27" t="s">
        <v>185</v>
      </c>
      <c r="B128" s="37" t="s">
        <v>187</v>
      </c>
      <c r="C128" s="32" t="n">
        <v>76.02304771</v>
      </c>
      <c r="D128" s="29" t="n">
        <v>12115</v>
      </c>
      <c r="E128" s="30" t="n">
        <v>26100</v>
      </c>
      <c r="F128" s="30" t="n">
        <v>18255</v>
      </c>
      <c r="G128" s="31" t="n">
        <f aca="false">SUM(F128/E128)</f>
        <v>0.699425287356322</v>
      </c>
      <c r="H128" s="31" t="str">
        <f aca="false">IF(G128&gt;69%, "GOOD", "POOR")</f>
        <v>GOOD</v>
      </c>
      <c r="I128" s="32" t="n">
        <v>2</v>
      </c>
      <c r="J128" s="32" t="n">
        <v>185</v>
      </c>
      <c r="K128" s="32" t="str">
        <f aca="false" t="array" ref="K128:K128">_xlfn.IFS(J128&gt;299,"High HP",J128&gt;99,"Medium HP",J128&lt;100,"Low HP")</f>
        <v>Medium HP</v>
      </c>
      <c r="L128" s="32" t="s">
        <v>42</v>
      </c>
      <c r="M128" s="32" t="n">
        <v>23</v>
      </c>
      <c r="N128" s="32" t="n">
        <v>102.6</v>
      </c>
      <c r="O128" s="32" t="n">
        <v>67.4</v>
      </c>
      <c r="P128" s="32" t="n">
        <v>182.2</v>
      </c>
      <c r="Q128" s="32" t="n">
        <v>2.99</v>
      </c>
      <c r="R128" s="32" t="n">
        <v>16.9</v>
      </c>
      <c r="S128" s="33" t="n">
        <v>40706</v>
      </c>
    </row>
    <row r="129" customFormat="false" ht="16.15" hidden="true" customHeight="false" outlineLevel="0" collapsed="false">
      <c r="A129" s="27" t="s">
        <v>188</v>
      </c>
      <c r="B129" s="28" t="s">
        <v>189</v>
      </c>
      <c r="C129" s="32" t="n">
        <v>39.98642475</v>
      </c>
      <c r="D129" s="29" t="n">
        <v>80620</v>
      </c>
      <c r="E129" s="30" t="n">
        <v>10685</v>
      </c>
      <c r="F129" s="30" t="n">
        <v>9200</v>
      </c>
      <c r="G129" s="31" t="n">
        <f aca="false">SUM(F129/E129)</f>
        <v>0.861020121665887</v>
      </c>
      <c r="H129" s="31" t="str">
        <f aca="false">IF(G129&gt;69%, "GOOD", "POOR")</f>
        <v>GOOD</v>
      </c>
      <c r="I129" s="32" t="n">
        <v>1.9</v>
      </c>
      <c r="J129" s="32" t="n">
        <v>100</v>
      </c>
      <c r="K129" s="32" t="str">
        <f aca="false" t="array" ref="K129:K129">_xlfn.IFS(J129&gt;299,"High HP",J129&gt;99,"Medium HP",J129&lt;100,"Low HP")</f>
        <v>Medium HP</v>
      </c>
      <c r="L129" s="32" t="s">
        <v>42</v>
      </c>
      <c r="M129" s="32" t="n">
        <v>33</v>
      </c>
      <c r="N129" s="32" t="n">
        <v>102.4</v>
      </c>
      <c r="O129" s="32" t="n">
        <v>66.4</v>
      </c>
      <c r="P129" s="32" t="n">
        <v>176.9</v>
      </c>
      <c r="Q129" s="32" t="n">
        <v>2.332</v>
      </c>
      <c r="R129" s="32" t="n">
        <v>12.1</v>
      </c>
      <c r="S129" s="33" t="n">
        <v>41137</v>
      </c>
    </row>
    <row r="130" customFormat="false" ht="16.15" hidden="true" customHeight="false" outlineLevel="0" collapsed="false">
      <c r="A130" s="27" t="s">
        <v>188</v>
      </c>
      <c r="B130" s="28" t="s">
        <v>190</v>
      </c>
      <c r="C130" s="32" t="n">
        <v>40.70007242</v>
      </c>
      <c r="D130" s="29" t="n">
        <v>24546</v>
      </c>
      <c r="E130" s="30" t="n">
        <v>12535</v>
      </c>
      <c r="F130" s="30" t="n">
        <v>10590</v>
      </c>
      <c r="G130" s="31" t="n">
        <f aca="false">SUM(F130/E130)</f>
        <v>0.844834463502194</v>
      </c>
      <c r="H130" s="31" t="str">
        <f aca="false">IF(G130&gt;69%, "GOOD", "POOR")</f>
        <v>GOOD</v>
      </c>
      <c r="I130" s="32" t="n">
        <v>1.9</v>
      </c>
      <c r="J130" s="32" t="n">
        <v>100</v>
      </c>
      <c r="K130" s="32" t="str">
        <f aca="false" t="array" ref="K130:K130">_xlfn.IFS(J130&gt;299,"High HP",J130&gt;99,"Medium HP",J130&lt;100,"Low HP")</f>
        <v>Medium HP</v>
      </c>
      <c r="L130" s="32" t="s">
        <v>42</v>
      </c>
      <c r="M130" s="32" t="n">
        <v>33</v>
      </c>
      <c r="N130" s="32" t="n">
        <v>102.4</v>
      </c>
      <c r="O130" s="32" t="n">
        <v>66.4</v>
      </c>
      <c r="P130" s="32" t="n">
        <v>180</v>
      </c>
      <c r="Q130" s="32" t="n">
        <v>2.367</v>
      </c>
      <c r="R130" s="32" t="n">
        <v>12.1</v>
      </c>
      <c r="S130" s="33" t="n">
        <v>40618</v>
      </c>
    </row>
    <row r="131" customFormat="false" ht="16.15" hidden="true" customHeight="false" outlineLevel="0" collapsed="false">
      <c r="A131" s="27" t="s">
        <v>188</v>
      </c>
      <c r="B131" s="28" t="s">
        <v>191</v>
      </c>
      <c r="C131" s="32" t="n">
        <v>49.86577367</v>
      </c>
      <c r="D131" s="29" t="n">
        <v>5223</v>
      </c>
      <c r="E131" s="30" t="n">
        <v>14290</v>
      </c>
      <c r="F131" s="30" t="n">
        <v>10790</v>
      </c>
      <c r="G131" s="31" t="n">
        <f aca="false">SUM(F131/E131)</f>
        <v>0.755073477956613</v>
      </c>
      <c r="H131" s="31" t="str">
        <f aca="false">IF(G131&gt;69%, "GOOD", "POOR")</f>
        <v>GOOD</v>
      </c>
      <c r="I131" s="32" t="n">
        <v>1.9</v>
      </c>
      <c r="J131" s="32" t="n">
        <v>124</v>
      </c>
      <c r="K131" s="32" t="str">
        <f aca="false" t="array" ref="K131:K131">_xlfn.IFS(J131&gt;299,"High HP",J131&gt;99,"Medium HP",J131&lt;100,"Low HP")</f>
        <v>Medium HP</v>
      </c>
      <c r="L131" s="32" t="s">
        <v>42</v>
      </c>
      <c r="M131" s="32" t="n">
        <v>31</v>
      </c>
      <c r="N131" s="32" t="n">
        <v>102.4</v>
      </c>
      <c r="O131" s="32" t="n">
        <v>66.4</v>
      </c>
      <c r="P131" s="32" t="n">
        <v>176.9</v>
      </c>
      <c r="Q131" s="32" t="n">
        <v>2.452</v>
      </c>
      <c r="R131" s="32" t="n">
        <v>12.1</v>
      </c>
      <c r="S131" s="33" t="n">
        <v>40558</v>
      </c>
    </row>
    <row r="132" customFormat="false" ht="16.15" hidden="true" customHeight="false" outlineLevel="0" collapsed="false">
      <c r="A132" s="27" t="s">
        <v>188</v>
      </c>
      <c r="B132" s="28" t="s">
        <v>192</v>
      </c>
      <c r="C132" s="32" t="n">
        <v>56.29524304</v>
      </c>
      <c r="D132" s="29" t="n">
        <v>8472</v>
      </c>
      <c r="E132" s="30" t="n">
        <v>18835</v>
      </c>
      <c r="F132" s="30" t="n">
        <v>13700</v>
      </c>
      <c r="G132" s="31" t="n">
        <f aca="false">SUM(F132/E132)</f>
        <v>0.727369259357579</v>
      </c>
      <c r="H132" s="31" t="str">
        <f aca="false">IF(G132&gt;69%, "GOOD", "POOR")</f>
        <v>GOOD</v>
      </c>
      <c r="I132" s="32" t="n">
        <v>2.2</v>
      </c>
      <c r="J132" s="32" t="n">
        <v>137</v>
      </c>
      <c r="K132" s="32" t="str">
        <f aca="false" t="array" ref="K132:K132">_xlfn.IFS(J132&gt;299,"High HP",J132&gt;99,"Medium HP",J132&lt;100,"Low HP")</f>
        <v>Medium HP</v>
      </c>
      <c r="L132" s="32" t="s">
        <v>42</v>
      </c>
      <c r="M132" s="32" t="n">
        <v>27</v>
      </c>
      <c r="N132" s="32" t="n">
        <v>106.5</v>
      </c>
      <c r="O132" s="32" t="n">
        <v>69</v>
      </c>
      <c r="P132" s="32" t="n">
        <v>190.4</v>
      </c>
      <c r="Q132" s="32" t="n">
        <v>3.075</v>
      </c>
      <c r="R132" s="32" t="n">
        <v>13.1</v>
      </c>
      <c r="S132" s="33" t="n">
        <v>40760</v>
      </c>
    </row>
    <row r="133" customFormat="false" ht="16.15" hidden="true" customHeight="false" outlineLevel="0" collapsed="false">
      <c r="A133" s="27" t="s">
        <v>188</v>
      </c>
      <c r="B133" s="28" t="s">
        <v>193</v>
      </c>
      <c r="C133" s="32" t="n">
        <v>54.81972825</v>
      </c>
      <c r="D133" s="29" t="n">
        <v>49989</v>
      </c>
      <c r="E133" s="30" t="n">
        <v>15010</v>
      </c>
      <c r="F133" s="30" t="n">
        <v>9900</v>
      </c>
      <c r="G133" s="31" t="n">
        <f aca="false">SUM(F133/E133)</f>
        <v>0.659560293137908</v>
      </c>
      <c r="H133" s="31" t="str">
        <f aca="false">IF(G133&gt;69%, "GOOD", "POOR")</f>
        <v>POOR</v>
      </c>
      <c r="I133" s="32" t="n">
        <v>2.2</v>
      </c>
      <c r="J133" s="32" t="n">
        <v>137</v>
      </c>
      <c r="K133" s="32" t="str">
        <f aca="false" t="array" ref="K133:K133">_xlfn.IFS(J133&gt;299,"High HP",J133&gt;99,"Medium HP",J133&lt;100,"Low HP")</f>
        <v>Medium HP</v>
      </c>
      <c r="L133" s="32" t="s">
        <v>42</v>
      </c>
      <c r="M133" s="32" t="n">
        <v>28</v>
      </c>
      <c r="N133" s="32" t="n">
        <v>106.5</v>
      </c>
      <c r="O133" s="32" t="n">
        <v>69</v>
      </c>
      <c r="P133" s="32" t="n">
        <v>190.4</v>
      </c>
      <c r="Q133" s="32" t="n">
        <v>2.91</v>
      </c>
      <c r="R133" s="32" t="n">
        <v>13.1</v>
      </c>
      <c r="S133" s="33" t="n">
        <v>41247</v>
      </c>
    </row>
    <row r="134" customFormat="false" ht="16.15" hidden="true" customHeight="false" outlineLevel="0" collapsed="false">
      <c r="A134" s="27" t="s">
        <v>8</v>
      </c>
      <c r="B134" s="28" t="s">
        <v>194</v>
      </c>
      <c r="C134" s="32" t="n">
        <v>67.7659076</v>
      </c>
      <c r="D134" s="29" t="n">
        <v>47107</v>
      </c>
      <c r="E134" s="30" t="n">
        <v>22695</v>
      </c>
      <c r="F134" s="30" t="n">
        <v>16770</v>
      </c>
      <c r="G134" s="31" t="n">
        <f aca="false">SUM(F134/E134)</f>
        <v>0.738929279576999</v>
      </c>
      <c r="H134" s="31" t="str">
        <f aca="false">IF(G134&gt;69%, "GOOD", "POOR")</f>
        <v>GOOD</v>
      </c>
      <c r="I134" s="32" t="n">
        <v>2.5</v>
      </c>
      <c r="J134" s="32" t="n">
        <v>165</v>
      </c>
      <c r="K134" s="32" t="str">
        <f aca="false" t="array" ref="K134:K134">_xlfn.IFS(J134&gt;299,"High HP",J134&gt;99,"Medium HP",J134&lt;100,"Low HP")</f>
        <v>Medium HP</v>
      </c>
      <c r="L134" s="32" t="s">
        <v>42</v>
      </c>
      <c r="M134" s="32" t="n">
        <v>25</v>
      </c>
      <c r="N134" s="32" t="n">
        <v>103.5</v>
      </c>
      <c r="O134" s="32" t="n">
        <v>67.5</v>
      </c>
      <c r="P134" s="32" t="n">
        <v>185.8</v>
      </c>
      <c r="Q134" s="32" t="n">
        <v>3.415</v>
      </c>
      <c r="R134" s="32" t="n">
        <v>16.9</v>
      </c>
      <c r="S134" s="33" t="n">
        <v>40731</v>
      </c>
    </row>
    <row r="135" customFormat="false" ht="16.15" hidden="true" customHeight="false" outlineLevel="0" collapsed="false">
      <c r="A135" s="27" t="s">
        <v>8</v>
      </c>
      <c r="B135" s="28" t="s">
        <v>195</v>
      </c>
      <c r="C135" s="32" t="n">
        <v>66.76294331</v>
      </c>
      <c r="D135" s="29" t="n">
        <v>33028</v>
      </c>
      <c r="E135" s="30" t="n">
        <v>20095</v>
      </c>
      <c r="F135" s="30" t="n">
        <v>14832</v>
      </c>
      <c r="G135" s="31" t="n">
        <f aca="false">SUM(F135/E135)</f>
        <v>0.738094053247076</v>
      </c>
      <c r="H135" s="31" t="str">
        <f aca="false">IF(G135&gt;69%, "GOOD", "POOR")</f>
        <v>GOOD</v>
      </c>
      <c r="I135" s="32" t="n">
        <v>2.5</v>
      </c>
      <c r="J135" s="32" t="n">
        <v>165</v>
      </c>
      <c r="K135" s="32" t="str">
        <f aca="false" t="array" ref="K135:K135">_xlfn.IFS(J135&gt;299,"High HP",J135&gt;99,"Medium HP",J135&lt;100,"Low HP")</f>
        <v>Medium HP</v>
      </c>
      <c r="L135" s="32" t="s">
        <v>64</v>
      </c>
      <c r="M135" s="32" t="n">
        <v>24</v>
      </c>
      <c r="N135" s="32" t="n">
        <v>99.4</v>
      </c>
      <c r="O135" s="32" t="n">
        <v>68.3</v>
      </c>
      <c r="P135" s="32" t="n">
        <v>175.2</v>
      </c>
      <c r="Q135" s="32" t="n">
        <v>3.125</v>
      </c>
      <c r="R135" s="32" t="n">
        <v>15.9</v>
      </c>
      <c r="S135" s="33" t="n">
        <v>41162</v>
      </c>
    </row>
    <row r="136" customFormat="false" ht="16.15" hidden="false" customHeight="false" outlineLevel="0" collapsed="false">
      <c r="A136" s="27" t="s">
        <v>9</v>
      </c>
      <c r="B136" s="28" t="s">
        <v>17</v>
      </c>
      <c r="C136" s="32" t="n">
        <v>47.96897242</v>
      </c>
      <c r="D136" s="29" t="n">
        <v>142535</v>
      </c>
      <c r="E136" s="30" t="n">
        <v>13108</v>
      </c>
      <c r="F136" s="30" t="n">
        <v>10025</v>
      </c>
      <c r="G136" s="31" t="n">
        <f aca="false">SUM(F136/E136)</f>
        <v>0.764800122062862</v>
      </c>
      <c r="H136" s="31" t="str">
        <f aca="false">IF(G136&gt;69%, "GOOD", "POOR")</f>
        <v>GOOD</v>
      </c>
      <c r="I136" s="32" t="n">
        <v>1.8</v>
      </c>
      <c r="J136" s="32" t="n">
        <v>120</v>
      </c>
      <c r="K136" s="32" t="str">
        <f aca="false" t="array" ref="K136:K136">_xlfn.IFS(J136&gt;299,"High HP",J136&gt;99,"Medium HP",J136&lt;100,"Low HP")</f>
        <v>Medium HP</v>
      </c>
      <c r="L136" s="32" t="s">
        <v>42</v>
      </c>
      <c r="M136" s="32" t="n">
        <v>33</v>
      </c>
      <c r="N136" s="32" t="n">
        <v>97</v>
      </c>
      <c r="O136" s="32" t="n">
        <v>66.7</v>
      </c>
      <c r="P136" s="32" t="n">
        <v>174</v>
      </c>
      <c r="Q136" s="32" t="n">
        <v>2.42</v>
      </c>
      <c r="R136" s="32" t="n">
        <v>13.2</v>
      </c>
      <c r="S136" s="33" t="n">
        <v>40644</v>
      </c>
    </row>
    <row r="137" customFormat="false" ht="16.15" hidden="false" customHeight="false" outlineLevel="0" collapsed="false">
      <c r="A137" s="27" t="s">
        <v>9</v>
      </c>
      <c r="B137" s="28" t="s">
        <v>15</v>
      </c>
      <c r="C137" s="32" t="n">
        <v>54.37241965</v>
      </c>
      <c r="D137" s="29" t="n">
        <v>247994</v>
      </c>
      <c r="E137" s="30" t="n">
        <v>17518</v>
      </c>
      <c r="F137" s="30" t="n">
        <v>13245</v>
      </c>
      <c r="G137" s="31" t="n">
        <f aca="false">SUM(F137/E137)</f>
        <v>0.756079461125699</v>
      </c>
      <c r="H137" s="31" t="str">
        <f aca="false">IF(G137&gt;69%, "GOOD", "POOR")</f>
        <v>GOOD</v>
      </c>
      <c r="I137" s="32" t="n">
        <v>2.2</v>
      </c>
      <c r="J137" s="32" t="n">
        <v>133</v>
      </c>
      <c r="K137" s="32" t="str">
        <f aca="false" t="array" ref="K137:K137">_xlfn.IFS(J137&gt;299,"High HP",J137&gt;99,"Medium HP",J137&lt;100,"Low HP")</f>
        <v>Medium HP</v>
      </c>
      <c r="L137" s="32" t="s">
        <v>42</v>
      </c>
      <c r="M137" s="32" t="n">
        <v>27</v>
      </c>
      <c r="N137" s="32" t="n">
        <v>105.2</v>
      </c>
      <c r="O137" s="32" t="n">
        <v>70.1</v>
      </c>
      <c r="P137" s="32" t="n">
        <v>188.5</v>
      </c>
      <c r="Q137" s="32" t="n">
        <v>2.998</v>
      </c>
      <c r="R137" s="32" t="n">
        <v>18.5</v>
      </c>
      <c r="S137" s="33" t="n">
        <v>40584</v>
      </c>
    </row>
    <row r="138" customFormat="false" ht="16.15" hidden="false" customHeight="false" outlineLevel="0" collapsed="false">
      <c r="A138" s="27" t="s">
        <v>9</v>
      </c>
      <c r="B138" s="28" t="s">
        <v>14</v>
      </c>
      <c r="C138" s="32" t="n">
        <v>84.91189826</v>
      </c>
      <c r="D138" s="29" t="n">
        <v>63849</v>
      </c>
      <c r="E138" s="30" t="n">
        <v>25545</v>
      </c>
      <c r="F138" s="30" t="n">
        <v>18140</v>
      </c>
      <c r="G138" s="31" t="n">
        <f aca="false">SUM(F138/E138)</f>
        <v>0.710119397142298</v>
      </c>
      <c r="H138" s="31" t="str">
        <f aca="false">IF(G138&gt;69%, "GOOD", "POOR")</f>
        <v>GOOD</v>
      </c>
      <c r="I138" s="32" t="n">
        <v>3</v>
      </c>
      <c r="J138" s="32" t="n">
        <v>210</v>
      </c>
      <c r="K138" s="32" t="str">
        <f aca="false" t="array" ref="K138:K138">_xlfn.IFS(J138&gt;299,"High HP",J138&gt;99,"Medium HP",J138&lt;100,"Low HP")</f>
        <v>Medium HP</v>
      </c>
      <c r="L138" s="32" t="s">
        <v>42</v>
      </c>
      <c r="M138" s="32" t="n">
        <v>26</v>
      </c>
      <c r="N138" s="32" t="n">
        <v>107.1</v>
      </c>
      <c r="O138" s="32" t="n">
        <v>71.7</v>
      </c>
      <c r="P138" s="32" t="n">
        <v>191.9</v>
      </c>
      <c r="Q138" s="32" t="n">
        <v>3.417</v>
      </c>
      <c r="R138" s="32" t="n">
        <v>18.5</v>
      </c>
      <c r="S138" s="33" t="n">
        <v>40786</v>
      </c>
    </row>
    <row r="139" customFormat="false" ht="16.15" hidden="false" customHeight="false" outlineLevel="0" collapsed="false">
      <c r="A139" s="27" t="s">
        <v>9</v>
      </c>
      <c r="B139" s="28" t="s">
        <v>16</v>
      </c>
      <c r="C139" s="32" t="n">
        <v>56.49603034</v>
      </c>
      <c r="D139" s="29" t="n">
        <v>33269</v>
      </c>
      <c r="E139" s="30" t="n">
        <v>16875</v>
      </c>
      <c r="F139" s="30" t="n">
        <v>15445</v>
      </c>
      <c r="G139" s="31" t="n">
        <f aca="false">SUM(F139/E139)</f>
        <v>0.915259259259259</v>
      </c>
      <c r="H139" s="31" t="str">
        <f aca="false">IF(G139&gt;69%, "GOOD", "POOR")</f>
        <v>GOOD</v>
      </c>
      <c r="I139" s="32" t="n">
        <v>1.8</v>
      </c>
      <c r="J139" s="32" t="n">
        <v>140</v>
      </c>
      <c r="K139" s="32" t="str">
        <f aca="false" t="array" ref="K139:K139">_xlfn.IFS(J139&gt;299,"High HP",J139&gt;99,"Medium HP",J139&lt;100,"Low HP")</f>
        <v>Medium HP</v>
      </c>
      <c r="L139" s="32" t="s">
        <v>42</v>
      </c>
      <c r="M139" s="32" t="n">
        <v>31</v>
      </c>
      <c r="N139" s="32" t="n">
        <v>102.4</v>
      </c>
      <c r="O139" s="32" t="n">
        <v>68.3</v>
      </c>
      <c r="P139" s="32" t="n">
        <v>170.5</v>
      </c>
      <c r="Q139" s="32" t="n">
        <v>2.425</v>
      </c>
      <c r="R139" s="32" t="n">
        <v>14.5</v>
      </c>
      <c r="S139" s="33" t="n">
        <v>41272</v>
      </c>
    </row>
    <row r="140" customFormat="false" ht="16.15" hidden="false" customHeight="false" outlineLevel="0" collapsed="false">
      <c r="A140" s="27" t="s">
        <v>9</v>
      </c>
      <c r="B140" s="28" t="s">
        <v>21</v>
      </c>
      <c r="C140" s="32" t="n">
        <v>55.29711658</v>
      </c>
      <c r="D140" s="29" t="n">
        <v>84087</v>
      </c>
      <c r="E140" s="30" t="n">
        <v>11528</v>
      </c>
      <c r="F140" s="30" t="n">
        <v>9575</v>
      </c>
      <c r="G140" s="31" t="n">
        <f aca="false">SUM(F140/E140)</f>
        <v>0.83058639833449</v>
      </c>
      <c r="H140" s="31" t="str">
        <f aca="false">IF(G140&gt;69%, "GOOD", "POOR")</f>
        <v>GOOD</v>
      </c>
      <c r="I140" s="32" t="n">
        <v>2.4</v>
      </c>
      <c r="J140" s="32" t="n">
        <v>142</v>
      </c>
      <c r="K140" s="32" t="str">
        <f aca="false" t="array" ref="K140:K140">_xlfn.IFS(J140&gt;299,"High HP",J140&gt;99,"Medium HP",J140&lt;100,"Low HP")</f>
        <v>Medium HP</v>
      </c>
      <c r="L140" s="32" t="s">
        <v>64</v>
      </c>
      <c r="M140" s="32" t="n">
        <v>23</v>
      </c>
      <c r="N140" s="32" t="n">
        <v>103.3</v>
      </c>
      <c r="O140" s="32" t="n">
        <v>66.5</v>
      </c>
      <c r="P140" s="32" t="n">
        <v>178.7</v>
      </c>
      <c r="Q140" s="32" t="n">
        <v>2.58</v>
      </c>
      <c r="R140" s="32" t="n">
        <v>15.1</v>
      </c>
      <c r="S140" s="33" t="n">
        <v>40756</v>
      </c>
    </row>
    <row r="141" customFormat="false" ht="16.15" hidden="false" customHeight="false" outlineLevel="0" collapsed="false">
      <c r="A141" s="27" t="s">
        <v>9</v>
      </c>
      <c r="B141" s="28" t="s">
        <v>20</v>
      </c>
      <c r="C141" s="32" t="n">
        <v>78.02721947</v>
      </c>
      <c r="D141" s="29" t="n">
        <v>65119</v>
      </c>
      <c r="E141" s="30" t="n">
        <v>22368</v>
      </c>
      <c r="F141" s="30" t="n">
        <v>18689</v>
      </c>
      <c r="G141" s="31" t="n">
        <f aca="false">SUM(F141/E141)</f>
        <v>0.835523962804006</v>
      </c>
      <c r="H141" s="31" t="str">
        <f aca="false">IF(G141&gt;69%, "GOOD", "POOR")</f>
        <v>GOOD</v>
      </c>
      <c r="I141" s="32" t="n">
        <v>3</v>
      </c>
      <c r="J141" s="32" t="n">
        <v>194</v>
      </c>
      <c r="K141" s="32" t="str">
        <f aca="false" t="array" ref="K141:K141">_xlfn.IFS(J141&gt;299,"High HP",J141&gt;99,"Medium HP",J141&lt;100,"Low HP")</f>
        <v>Medium HP</v>
      </c>
      <c r="L141" s="32" t="s">
        <v>64</v>
      </c>
      <c r="M141" s="32" t="n">
        <v>22</v>
      </c>
      <c r="N141" s="32" t="n">
        <v>114.2</v>
      </c>
      <c r="O141" s="32" t="n">
        <v>73.4</v>
      </c>
      <c r="P141" s="32" t="n">
        <v>193.5</v>
      </c>
      <c r="Q141" s="32" t="n">
        <v>3.759</v>
      </c>
      <c r="R141" s="32" t="n">
        <v>20.9</v>
      </c>
      <c r="S141" s="33" t="n">
        <v>41187</v>
      </c>
    </row>
    <row r="142" customFormat="false" ht="16.15" hidden="false" customHeight="false" outlineLevel="0" collapsed="false">
      <c r="A142" s="27" t="s">
        <v>9</v>
      </c>
      <c r="B142" s="28" t="s">
        <v>19</v>
      </c>
      <c r="C142" s="32" t="n">
        <v>51.95510887</v>
      </c>
      <c r="D142" s="29" t="n">
        <v>25106</v>
      </c>
      <c r="E142" s="30" t="n">
        <v>16888</v>
      </c>
      <c r="F142" s="30" t="n">
        <v>13325</v>
      </c>
      <c r="G142" s="31" t="n">
        <f aca="false">SUM(F142/E142)</f>
        <v>0.789021790620559</v>
      </c>
      <c r="H142" s="31" t="str">
        <f aca="false">IF(G142&gt;69%, "GOOD", "POOR")</f>
        <v>GOOD</v>
      </c>
      <c r="I142" s="32" t="n">
        <v>2</v>
      </c>
      <c r="J142" s="32" t="n">
        <v>127</v>
      </c>
      <c r="K142" s="32" t="str">
        <f aca="false" t="array" ref="K142:K142">_xlfn.IFS(J142&gt;299,"High HP",J142&gt;99,"Medium HP",J142&lt;100,"Low HP")</f>
        <v>Medium HP</v>
      </c>
      <c r="L142" s="32" t="s">
        <v>64</v>
      </c>
      <c r="M142" s="32" t="n">
        <v>27</v>
      </c>
      <c r="N142" s="32" t="n">
        <v>94.9</v>
      </c>
      <c r="O142" s="32" t="n">
        <v>66.7</v>
      </c>
      <c r="P142" s="32" t="n">
        <v>163.8</v>
      </c>
      <c r="Q142" s="32" t="n">
        <v>2.668</v>
      </c>
      <c r="R142" s="32" t="n">
        <v>15.3</v>
      </c>
      <c r="S142" s="33" t="n">
        <v>40669</v>
      </c>
    </row>
    <row r="143" customFormat="false" ht="16.15" hidden="false" customHeight="false" outlineLevel="0" collapsed="false">
      <c r="A143" s="27" t="s">
        <v>9</v>
      </c>
      <c r="B143" s="28" t="s">
        <v>13</v>
      </c>
      <c r="C143" s="32" t="n">
        <v>62.35557713</v>
      </c>
      <c r="D143" s="29" t="n">
        <v>68411</v>
      </c>
      <c r="E143" s="30" t="n">
        <v>22288</v>
      </c>
      <c r="F143" s="30" t="n">
        <v>19425</v>
      </c>
      <c r="G143" s="31" t="n">
        <f aca="false">SUM(F143/E143)</f>
        <v>0.871545226130653</v>
      </c>
      <c r="H143" s="31" t="str">
        <f aca="false">IF(G143&gt;69%, "GOOD", "POOR")</f>
        <v>GOOD</v>
      </c>
      <c r="I143" s="32" t="n">
        <v>2.7</v>
      </c>
      <c r="J143" s="32" t="n">
        <v>150</v>
      </c>
      <c r="K143" s="32" t="str">
        <f aca="false" t="array" ref="K143:K143">_xlfn.IFS(J143&gt;299,"High HP",J143&gt;99,"Medium HP",J143&lt;100,"Low HP")</f>
        <v>Medium HP</v>
      </c>
      <c r="L143" s="32" t="s">
        <v>64</v>
      </c>
      <c r="M143" s="32" t="n">
        <v>23</v>
      </c>
      <c r="N143" s="32" t="n">
        <v>105.3</v>
      </c>
      <c r="O143" s="32" t="n">
        <v>66.5</v>
      </c>
      <c r="P143" s="32" t="n">
        <v>183.3</v>
      </c>
      <c r="Q143" s="32" t="n">
        <v>3.44</v>
      </c>
      <c r="R143" s="32" t="n">
        <v>18.5</v>
      </c>
      <c r="S143" s="33" t="n">
        <v>40609</v>
      </c>
    </row>
    <row r="144" customFormat="false" ht="16.15" hidden="false" customHeight="false" outlineLevel="0" collapsed="false">
      <c r="A144" s="27" t="s">
        <v>9</v>
      </c>
      <c r="B144" s="28" t="s">
        <v>18</v>
      </c>
      <c r="C144" s="32" t="n">
        <v>102.5289842</v>
      </c>
      <c r="D144" s="29" t="n">
        <v>9835</v>
      </c>
      <c r="E144" s="30" t="n">
        <v>51728</v>
      </c>
      <c r="F144" s="30" t="n">
        <v>34080</v>
      </c>
      <c r="G144" s="31" t="n">
        <f aca="false">SUM(F144/E144)</f>
        <v>0.658830807299722</v>
      </c>
      <c r="H144" s="31" t="str">
        <f aca="false">IF(G144&gt;69%, "GOOD", "POOR")</f>
        <v>POOR</v>
      </c>
      <c r="I144" s="32" t="n">
        <v>4.7</v>
      </c>
      <c r="J144" s="32" t="n">
        <v>230</v>
      </c>
      <c r="K144" s="32" t="str">
        <f aca="false" t="array" ref="K144:K144">_xlfn.IFS(J144&gt;299,"High HP",J144&gt;99,"Medium HP",J144&lt;100,"Low HP")</f>
        <v>Medium HP</v>
      </c>
      <c r="L144" s="32" t="s">
        <v>64</v>
      </c>
      <c r="M144" s="32" t="n">
        <v>15</v>
      </c>
      <c r="N144" s="32" t="n">
        <v>112.2</v>
      </c>
      <c r="O144" s="32" t="n">
        <v>76.4</v>
      </c>
      <c r="P144" s="32" t="n">
        <v>192.5</v>
      </c>
      <c r="Q144" s="32" t="n">
        <v>5.115</v>
      </c>
      <c r="R144" s="32" t="n">
        <v>25.4</v>
      </c>
      <c r="S144" s="33" t="n">
        <v>40811</v>
      </c>
    </row>
    <row r="145" customFormat="false" ht="16.15" hidden="true" customHeight="false" outlineLevel="0" collapsed="false">
      <c r="A145" s="27" t="s">
        <v>196</v>
      </c>
      <c r="B145" s="28" t="s">
        <v>197</v>
      </c>
      <c r="C145" s="32" t="n">
        <v>46.94387676</v>
      </c>
      <c r="D145" s="29" t="n">
        <v>9761</v>
      </c>
      <c r="E145" s="30" t="n">
        <v>14900</v>
      </c>
      <c r="F145" s="30" t="n">
        <v>11425</v>
      </c>
      <c r="G145" s="31" t="n">
        <f aca="false">SUM(F145/E145)</f>
        <v>0.766778523489933</v>
      </c>
      <c r="H145" s="31" t="str">
        <f aca="false">IF(G145&gt;69%, "GOOD", "POOR")</f>
        <v>GOOD</v>
      </c>
      <c r="I145" s="32" t="n">
        <v>2</v>
      </c>
      <c r="J145" s="32" t="n">
        <v>115</v>
      </c>
      <c r="K145" s="32" t="str">
        <f aca="false" t="array" ref="K145:K145">_xlfn.IFS(J145&gt;299,"High HP",J145&gt;99,"Medium HP",J145&lt;100,"Low HP")</f>
        <v>Medium HP</v>
      </c>
      <c r="L145" s="32" t="s">
        <v>42</v>
      </c>
      <c r="M145" s="32" t="n">
        <v>26</v>
      </c>
      <c r="N145" s="32" t="n">
        <v>98.9</v>
      </c>
      <c r="O145" s="32" t="n">
        <v>68.3</v>
      </c>
      <c r="P145" s="32" t="n">
        <v>163.3</v>
      </c>
      <c r="Q145" s="32" t="n">
        <v>2.767</v>
      </c>
      <c r="R145" s="32" t="n">
        <v>14.5</v>
      </c>
      <c r="S145" s="33" t="n">
        <v>40567</v>
      </c>
    </row>
    <row r="146" customFormat="false" ht="16.15" hidden="true" customHeight="false" outlineLevel="0" collapsed="false">
      <c r="A146" s="27" t="s">
        <v>196</v>
      </c>
      <c r="B146" s="28" t="s">
        <v>198</v>
      </c>
      <c r="C146" s="32" t="n">
        <v>47.63823666</v>
      </c>
      <c r="D146" s="29" t="n">
        <v>83721</v>
      </c>
      <c r="E146" s="30" t="n">
        <v>16700</v>
      </c>
      <c r="F146" s="30" t="n">
        <v>13240</v>
      </c>
      <c r="G146" s="31" t="n">
        <f aca="false">SUM(F146/E146)</f>
        <v>0.792814371257485</v>
      </c>
      <c r="H146" s="31" t="str">
        <f aca="false">IF(G146&gt;69%, "GOOD", "POOR")</f>
        <v>GOOD</v>
      </c>
      <c r="I146" s="32" t="n">
        <v>2</v>
      </c>
      <c r="J146" s="32" t="n">
        <v>115</v>
      </c>
      <c r="K146" s="32" t="str">
        <f aca="false" t="array" ref="K146:K146">_xlfn.IFS(J146&gt;299,"High HP",J146&gt;99,"Medium HP",J146&lt;100,"Low HP")</f>
        <v>Medium HP</v>
      </c>
      <c r="L146" s="32" t="s">
        <v>42</v>
      </c>
      <c r="M146" s="32" t="n">
        <v>26</v>
      </c>
      <c r="N146" s="32" t="n">
        <v>98.9</v>
      </c>
      <c r="O146" s="32" t="n">
        <v>68.3</v>
      </c>
      <c r="P146" s="32" t="n">
        <v>172.3</v>
      </c>
      <c r="Q146" s="32" t="n">
        <v>2.853</v>
      </c>
      <c r="R146" s="32" t="n">
        <v>14.5</v>
      </c>
      <c r="S146" s="33" t="n">
        <v>40782</v>
      </c>
    </row>
    <row r="147" customFormat="false" ht="16.15" hidden="true" customHeight="false" outlineLevel="0" collapsed="false">
      <c r="A147" s="27" t="s">
        <v>196</v>
      </c>
      <c r="B147" s="28" t="s">
        <v>199</v>
      </c>
      <c r="C147" s="32" t="n">
        <v>61.70138136</v>
      </c>
      <c r="D147" s="29" t="n">
        <v>51102</v>
      </c>
      <c r="E147" s="30" t="n">
        <v>21200</v>
      </c>
      <c r="F147" s="30" t="n">
        <v>16725</v>
      </c>
      <c r="G147" s="31" t="n">
        <f aca="false">SUM(F147/E147)</f>
        <v>0.788915094339623</v>
      </c>
      <c r="H147" s="31" t="str">
        <f aca="false">IF(G147&gt;69%, "GOOD", "POOR")</f>
        <v>GOOD</v>
      </c>
      <c r="I147" s="32" t="n">
        <v>1.8</v>
      </c>
      <c r="J147" s="32" t="n">
        <v>150</v>
      </c>
      <c r="K147" s="32" t="str">
        <f aca="false" t="array" ref="K147:K147">_xlfn.IFS(J147&gt;299,"High HP",J147&gt;99,"Medium HP",J147&lt;100,"Low HP")</f>
        <v>Medium HP</v>
      </c>
      <c r="L147" s="32" t="s">
        <v>42</v>
      </c>
      <c r="M147" s="32" t="n">
        <v>27</v>
      </c>
      <c r="N147" s="32" t="n">
        <v>106.4</v>
      </c>
      <c r="O147" s="32" t="n">
        <v>68.5</v>
      </c>
      <c r="P147" s="32" t="n">
        <v>184.1</v>
      </c>
      <c r="Q147" s="32" t="n">
        <v>3.043</v>
      </c>
      <c r="R147" s="32" t="n">
        <v>16.4</v>
      </c>
      <c r="S147" s="33" t="n">
        <v>41212</v>
      </c>
    </row>
    <row r="148" customFormat="false" ht="16.15" hidden="true" customHeight="false" outlineLevel="0" collapsed="false">
      <c r="A148" s="27" t="s">
        <v>196</v>
      </c>
      <c r="B148" s="28" t="s">
        <v>200</v>
      </c>
      <c r="C148" s="32" t="n">
        <v>48.90737225</v>
      </c>
      <c r="D148" s="29" t="n">
        <v>9569</v>
      </c>
      <c r="E148" s="30" t="n">
        <v>19990</v>
      </c>
      <c r="F148" s="30" t="n">
        <v>16575</v>
      </c>
      <c r="G148" s="31" t="n">
        <f aca="false">SUM(F148/E148)</f>
        <v>0.829164582291146</v>
      </c>
      <c r="H148" s="31" t="str">
        <f aca="false">IF(G148&gt;69%, "GOOD", "POOR")</f>
        <v>GOOD</v>
      </c>
      <c r="I148" s="32" t="n">
        <v>2</v>
      </c>
      <c r="J148" s="32" t="n">
        <v>115</v>
      </c>
      <c r="K148" s="32" t="str">
        <f aca="false" t="array" ref="K148:K148">_xlfn.IFS(J148&gt;299,"High HP",J148&gt;99,"Medium HP",J148&lt;100,"Low HP")</f>
        <v>Medium HP</v>
      </c>
      <c r="L148" s="32" t="s">
        <v>42</v>
      </c>
      <c r="M148" s="32" t="n">
        <v>26</v>
      </c>
      <c r="N148" s="32" t="n">
        <v>97.4</v>
      </c>
      <c r="O148" s="32" t="n">
        <v>66.7</v>
      </c>
      <c r="P148" s="32" t="n">
        <v>160.4</v>
      </c>
      <c r="Q148" s="32" t="n">
        <v>3.079</v>
      </c>
      <c r="R148" s="32" t="n">
        <v>13.7</v>
      </c>
      <c r="S148" s="33" t="n">
        <v>40694</v>
      </c>
    </row>
    <row r="149" customFormat="false" ht="16.15" hidden="true" customHeight="false" outlineLevel="0" collapsed="false">
      <c r="A149" s="27" t="s">
        <v>196</v>
      </c>
      <c r="B149" s="28" t="s">
        <v>201</v>
      </c>
      <c r="C149" s="32" t="n">
        <v>47.94684106</v>
      </c>
      <c r="D149" s="29" t="n">
        <v>5596</v>
      </c>
      <c r="E149" s="30" t="n">
        <v>17500</v>
      </c>
      <c r="F149" s="30" t="n">
        <v>13760</v>
      </c>
      <c r="G149" s="31" t="n">
        <f aca="false">SUM(F149/E149)</f>
        <v>0.786285714285714</v>
      </c>
      <c r="H149" s="31" t="str">
        <f aca="false">IF(G149&gt;69%, "GOOD", "POOR")</f>
        <v>GOOD</v>
      </c>
      <c r="I149" s="32" t="n">
        <v>2</v>
      </c>
      <c r="J149" s="32" t="n">
        <v>115</v>
      </c>
      <c r="K149" s="32" t="str">
        <f aca="false" t="array" ref="K149:K149">_xlfn.IFS(J149&gt;299,"High HP",J149&gt;99,"Medium HP",J149&lt;100,"Low HP")</f>
        <v>Medium HP</v>
      </c>
      <c r="L149" s="32" t="s">
        <v>42</v>
      </c>
      <c r="M149" s="32" t="n">
        <v>26</v>
      </c>
      <c r="N149" s="32" t="n">
        <v>98.9</v>
      </c>
      <c r="O149" s="32" t="n">
        <v>68.3</v>
      </c>
      <c r="P149" s="32" t="n">
        <v>163.3</v>
      </c>
      <c r="Q149" s="32" t="n">
        <v>2.762</v>
      </c>
      <c r="R149" s="32" t="n">
        <v>14.6</v>
      </c>
      <c r="S149" s="33" t="n">
        <v>40634</v>
      </c>
    </row>
    <row r="150" customFormat="false" ht="16.15" hidden="true" customHeight="false" outlineLevel="0" collapsed="false">
      <c r="A150" s="27" t="s">
        <v>196</v>
      </c>
      <c r="B150" s="28" t="s">
        <v>202</v>
      </c>
      <c r="C150" s="32" t="n">
        <v>47.32963226</v>
      </c>
      <c r="D150" s="29" t="n">
        <v>49463</v>
      </c>
      <c r="E150" s="30" t="n">
        <v>15900</v>
      </c>
      <c r="F150" s="30" t="n">
        <v>11986</v>
      </c>
      <c r="G150" s="31" t="n">
        <f aca="false">SUM(F150/E150)</f>
        <v>0.753836477987421</v>
      </c>
      <c r="H150" s="31" t="str">
        <f aca="false">IF(G150&gt;69%, "GOOD", "POOR")</f>
        <v>GOOD</v>
      </c>
      <c r="I150" s="32" t="n">
        <v>2</v>
      </c>
      <c r="J150" s="32" t="n">
        <v>115</v>
      </c>
      <c r="K150" s="32" t="str">
        <f aca="false" t="array" ref="K150:K150">_xlfn.IFS(J150&gt;299,"High HP",J150&gt;99,"Medium HP",J150&lt;100,"Low HP")</f>
        <v>Medium HP</v>
      </c>
      <c r="L150" s="32" t="s">
        <v>42</v>
      </c>
      <c r="M150" s="32" t="n">
        <v>26</v>
      </c>
      <c r="N150" s="32" t="n">
        <v>98.9</v>
      </c>
      <c r="O150" s="32" t="n">
        <v>67.9</v>
      </c>
      <c r="P150" s="32" t="n">
        <v>161.1</v>
      </c>
      <c r="Q150" s="32" t="n">
        <v>2.769</v>
      </c>
      <c r="R150" s="32" t="n">
        <v>14.5</v>
      </c>
      <c r="S150" s="33" t="n">
        <v>40836</v>
      </c>
    </row>
    <row r="151" customFormat="false" ht="16.15" hidden="true" customHeight="false" outlineLevel="0" collapsed="false">
      <c r="A151" s="27" t="s">
        <v>203</v>
      </c>
      <c r="B151" s="28" t="s">
        <v>204</v>
      </c>
      <c r="C151" s="32" t="n">
        <v>66.1130568</v>
      </c>
      <c r="D151" s="29" t="n">
        <v>16957</v>
      </c>
      <c r="E151" s="30" t="n">
        <v>23400</v>
      </c>
      <c r="F151" s="30" t="n">
        <v>14334</v>
      </c>
      <c r="G151" s="31" t="n">
        <f aca="false">SUM(F151/E151)</f>
        <v>0.612564102564103</v>
      </c>
      <c r="H151" s="31" t="str">
        <f aca="false">IF(G151&gt;69%, "GOOD", "POOR")</f>
        <v>POOR</v>
      </c>
      <c r="I151" s="32" t="n">
        <v>1.9</v>
      </c>
      <c r="J151" s="32" t="n">
        <v>160</v>
      </c>
      <c r="K151" s="32" t="str">
        <f aca="false" t="array" ref="K151:K151">_xlfn.IFS(J151&gt;299,"High HP",J151&gt;99,"Medium HP",J151&lt;100,"Low HP")</f>
        <v>Medium HP</v>
      </c>
      <c r="L151" s="32" t="s">
        <v>42</v>
      </c>
      <c r="M151" s="32" t="n">
        <v>25</v>
      </c>
      <c r="N151" s="32" t="n">
        <v>100.5</v>
      </c>
      <c r="O151" s="32" t="n">
        <v>67.6</v>
      </c>
      <c r="P151" s="32" t="n">
        <v>176.6</v>
      </c>
      <c r="Q151" s="32" t="n">
        <v>2.998</v>
      </c>
      <c r="R151" s="32" t="n">
        <v>15.8</v>
      </c>
      <c r="S151" s="33" t="n">
        <v>40592</v>
      </c>
    </row>
    <row r="152" customFormat="false" ht="16.15" hidden="true" customHeight="false" outlineLevel="0" collapsed="false">
      <c r="A152" s="27" t="s">
        <v>203</v>
      </c>
      <c r="B152" s="28" t="s">
        <v>205</v>
      </c>
      <c r="C152" s="32" t="n">
        <v>66.4988123</v>
      </c>
      <c r="D152" s="29" t="n">
        <v>3545</v>
      </c>
      <c r="E152" s="30" t="n">
        <v>24400</v>
      </c>
      <c r="F152" s="30" t="n">
        <v>15252</v>
      </c>
      <c r="G152" s="31" t="n">
        <f aca="false">SUM(F152/E152)</f>
        <v>0.625081967213115</v>
      </c>
      <c r="H152" s="31" t="str">
        <f aca="false">IF(G152&gt;69%, "GOOD", "POOR")</f>
        <v>POOR</v>
      </c>
      <c r="I152" s="32" t="n">
        <v>1.9</v>
      </c>
      <c r="J152" s="32" t="n">
        <v>160</v>
      </c>
      <c r="K152" s="32" t="str">
        <f aca="false" t="array" ref="K152:K152">_xlfn.IFS(J152&gt;299,"High HP",J152&gt;99,"Medium HP",J152&lt;100,"Low HP")</f>
        <v>Medium HP</v>
      </c>
      <c r="L152" s="32" t="s">
        <v>42</v>
      </c>
      <c r="M152" s="32" t="n">
        <v>25</v>
      </c>
      <c r="N152" s="32" t="n">
        <v>100.5</v>
      </c>
      <c r="O152" s="32" t="n">
        <v>67.6</v>
      </c>
      <c r="P152" s="32" t="n">
        <v>176.6</v>
      </c>
      <c r="Q152" s="32" t="n">
        <v>3.042</v>
      </c>
      <c r="R152" s="32" t="n">
        <v>15.8</v>
      </c>
      <c r="S152" s="33" t="n">
        <v>40807</v>
      </c>
    </row>
    <row r="153" customFormat="false" ht="16.15" hidden="true" customHeight="false" outlineLevel="0" collapsed="false">
      <c r="A153" s="27" t="s">
        <v>203</v>
      </c>
      <c r="B153" s="28" t="s">
        <v>206</v>
      </c>
      <c r="C153" s="32" t="n">
        <v>70.65449545</v>
      </c>
      <c r="D153" s="29" t="n">
        <v>15245</v>
      </c>
      <c r="E153" s="30" t="n">
        <v>27500</v>
      </c>
      <c r="F153" s="30" t="n">
        <v>18900</v>
      </c>
      <c r="G153" s="31" t="n">
        <f aca="false">SUM(F153/E153)</f>
        <v>0.687272727272727</v>
      </c>
      <c r="H153" s="31" t="str">
        <f aca="false">IF(G153&gt;69%, "GOOD", "POOR")</f>
        <v>POOR</v>
      </c>
      <c r="I153" s="32" t="n">
        <v>2.4</v>
      </c>
      <c r="J153" s="32" t="n">
        <v>168</v>
      </c>
      <c r="K153" s="32" t="str">
        <f aca="false" t="array" ref="K153:K153">_xlfn.IFS(J153&gt;299,"High HP",J153&gt;99,"Medium HP",J153&lt;100,"Low HP")</f>
        <v>Medium HP</v>
      </c>
      <c r="L153" s="32" t="s">
        <v>42</v>
      </c>
      <c r="M153" s="32" t="n">
        <v>25</v>
      </c>
      <c r="N153" s="32" t="n">
        <v>104.9</v>
      </c>
      <c r="O153" s="32" t="n">
        <v>69.3</v>
      </c>
      <c r="P153" s="32" t="n">
        <v>185.9</v>
      </c>
      <c r="Q153" s="32" t="n">
        <v>3.208</v>
      </c>
      <c r="R153" s="32" t="n">
        <v>17.9</v>
      </c>
      <c r="S153" s="33" t="n">
        <v>41237</v>
      </c>
    </row>
    <row r="154" customFormat="false" ht="16.15" hidden="true" customHeight="false" outlineLevel="0" collapsed="false">
      <c r="A154" s="27" t="s">
        <v>203</v>
      </c>
      <c r="B154" s="28" t="s">
        <v>207</v>
      </c>
      <c r="C154" s="32" t="n">
        <v>71.1559776</v>
      </c>
      <c r="D154" s="29" t="n">
        <v>17531</v>
      </c>
      <c r="E154" s="30" t="n">
        <v>28800</v>
      </c>
      <c r="F154" s="30" t="n">
        <v>20223</v>
      </c>
      <c r="G154" s="31" t="n">
        <f aca="false">SUM(F154/E154)</f>
        <v>0.7021875</v>
      </c>
      <c r="H154" s="31" t="str">
        <f aca="false">IF(G154&gt;69%, "GOOD", "POOR")</f>
        <v>GOOD</v>
      </c>
      <c r="I154" s="32" t="n">
        <v>2.4</v>
      </c>
      <c r="J154" s="32" t="n">
        <v>168</v>
      </c>
      <c r="K154" s="32" t="str">
        <f aca="false" t="array" ref="K154:K154">_xlfn.IFS(J154&gt;299,"High HP",J154&gt;99,"Medium HP",J154&lt;100,"Low HP")</f>
        <v>Medium HP</v>
      </c>
      <c r="L154" s="32" t="s">
        <v>42</v>
      </c>
      <c r="M154" s="32" t="n">
        <v>25</v>
      </c>
      <c r="N154" s="32" t="n">
        <v>104.9</v>
      </c>
      <c r="O154" s="32" t="n">
        <v>69.3</v>
      </c>
      <c r="P154" s="32" t="n">
        <v>186.2</v>
      </c>
      <c r="Q154" s="32" t="n">
        <v>3.259</v>
      </c>
      <c r="R154" s="32" t="n">
        <v>17.9</v>
      </c>
      <c r="S154" s="33" t="n">
        <v>40719</v>
      </c>
    </row>
    <row r="155" customFormat="false" ht="16.15" hidden="true" customHeight="false" outlineLevel="0" collapsed="false">
      <c r="A155" s="27" t="s">
        <v>203</v>
      </c>
      <c r="B155" s="28" t="s">
        <v>208</v>
      </c>
      <c r="C155" s="32" t="n">
        <v>101.6233572</v>
      </c>
      <c r="D155" s="29" t="n">
        <v>3493</v>
      </c>
      <c r="E155" s="30" t="n">
        <v>45500</v>
      </c>
      <c r="F155" s="30" t="n">
        <v>34175</v>
      </c>
      <c r="G155" s="31" t="n">
        <f aca="false">SUM(F155/E155)</f>
        <v>0.751098901098901</v>
      </c>
      <c r="H155" s="31" t="str">
        <f aca="false">IF(G155&gt;69%, "GOOD", "POOR")</f>
        <v>GOOD</v>
      </c>
      <c r="I155" s="32" t="n">
        <v>2.3</v>
      </c>
      <c r="J155" s="32" t="n">
        <v>236</v>
      </c>
      <c r="K155" s="32" t="str">
        <f aca="false" t="array" ref="K155:K155">_xlfn.IFS(J155&gt;299,"High HP",J155&gt;99,"Medium HP",J155&lt;100,"Low HP")</f>
        <v>Medium HP</v>
      </c>
      <c r="L155" s="32" t="s">
        <v>42</v>
      </c>
      <c r="M155" s="32" t="n">
        <v>23</v>
      </c>
      <c r="N155" s="32" t="n">
        <v>104.9</v>
      </c>
      <c r="O155" s="32" t="n">
        <v>71.5</v>
      </c>
      <c r="P155" s="32" t="n">
        <v>185.7</v>
      </c>
      <c r="Q155" s="32" t="n">
        <v>3.601</v>
      </c>
      <c r="R155" s="32" t="n">
        <v>18.5</v>
      </c>
      <c r="S155" s="33" t="n">
        <v>40659</v>
      </c>
    </row>
    <row r="156" customFormat="false" ht="16.15" hidden="true" customHeight="false" outlineLevel="0" collapsed="false">
      <c r="A156" s="27" t="s">
        <v>203</v>
      </c>
      <c r="B156" s="28" t="s">
        <v>209</v>
      </c>
      <c r="C156" s="32" t="n">
        <v>85.73565451</v>
      </c>
      <c r="D156" s="29" t="n">
        <v>18969</v>
      </c>
      <c r="E156" s="30" t="n">
        <v>36000</v>
      </c>
      <c r="F156" s="30" t="n">
        <v>26403</v>
      </c>
      <c r="G156" s="31" t="n">
        <f aca="false">SUM(F156/E156)</f>
        <v>0.733416666666667</v>
      </c>
      <c r="H156" s="31" t="str">
        <f aca="false">IF(G156&gt;69%, "GOOD", "POOR")</f>
        <v>GOOD</v>
      </c>
      <c r="I156" s="32" t="n">
        <v>2.9</v>
      </c>
      <c r="J156" s="32" t="n">
        <v>201</v>
      </c>
      <c r="K156" s="32" t="str">
        <f aca="false" t="array" ref="K156:K156">_xlfn.IFS(J156&gt;299,"High HP",J156&gt;99,"Medium HP",J156&lt;100,"Low HP")</f>
        <v>Medium HP</v>
      </c>
      <c r="L156" s="32" t="s">
        <v>42</v>
      </c>
      <c r="M156" s="32" t="n">
        <v>24</v>
      </c>
      <c r="N156" s="32" t="n">
        <v>109.9</v>
      </c>
      <c r="O156" s="32" t="n">
        <v>72.1</v>
      </c>
      <c r="P156" s="32" t="n">
        <v>189.8</v>
      </c>
      <c r="Q156" s="32" t="n">
        <v>3.6</v>
      </c>
      <c r="R156" s="32" t="n">
        <v>21.1</v>
      </c>
      <c r="S156" s="33" t="n">
        <v>40861</v>
      </c>
    </row>
  </sheetData>
  <conditionalFormatting sqref="H2:H156">
    <cfRule type="containsText" priority="2" operator="containsText" aboveAverage="0" equalAverage="0" bottom="0" percent="0" rank="0" text="POOR" dxfId="11">
      <formula>NOT(ISERROR(SEARCH("POOR",H2)))</formula>
    </cfRule>
  </conditionalFormatting>
  <conditionalFormatting sqref="H2:H156">
    <cfRule type="containsText" priority="3" operator="containsText" aboveAverage="0" equalAverage="0" bottom="0" percent="0" rank="0" text="GOOD" dxfId="12">
      <formula>NOT(ISERROR(SEARCH("GOOD",H2)))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9.16796875" defaultRowHeight="15" customHeight="true" zeroHeight="false" outlineLevelRow="0" outlineLevelCol="0"/>
  <cols>
    <col collapsed="false" customWidth="true" hidden="false" outlineLevel="0" max="1" min="1" style="0" width="15.33"/>
    <col collapsed="false" customWidth="true" hidden="false" outlineLevel="0" max="2" min="2" style="0" width="15.5"/>
    <col collapsed="false" customWidth="true" hidden="false" outlineLevel="0" max="3" min="3" style="0" width="20.5"/>
    <col collapsed="false" customWidth="true" hidden="false" outlineLevel="0" max="4" min="4" style="23" width="12.67"/>
    <col collapsed="false" customWidth="true" hidden="false" outlineLevel="0" max="5" min="5" style="0" width="19.5"/>
    <col collapsed="false" customWidth="true" hidden="false" outlineLevel="0" max="6" min="6" style="0" width="14"/>
    <col collapsed="false" customWidth="true" hidden="false" outlineLevel="0" max="7" min="7" style="0" width="17.5"/>
    <col collapsed="false" customWidth="true" hidden="false" outlineLevel="0" max="8" min="8" style="0" width="13.17"/>
    <col collapsed="false" customWidth="true" hidden="false" outlineLevel="0" max="9" min="9" style="0" width="14"/>
    <col collapsed="false" customWidth="true" hidden="false" outlineLevel="0" max="10" min="10" style="0" width="11.83"/>
    <col collapsed="false" customWidth="true" hidden="false" outlineLevel="0" max="11" min="11" style="0" width="14.83"/>
    <col collapsed="false" customWidth="true" hidden="false" outlineLevel="0" max="12" min="12" style="0" width="14.67"/>
    <col collapsed="false" customWidth="true" hidden="false" outlineLevel="0" max="13" min="13" style="0" width="17.83"/>
    <col collapsed="false" customWidth="true" hidden="false" outlineLevel="0" max="14" min="14" style="0" width="11"/>
    <col collapsed="false" customWidth="true" hidden="false" outlineLevel="0" max="15" min="15" style="0" width="6.5"/>
    <col collapsed="false" customWidth="true" hidden="false" outlineLevel="0" max="16" min="16" style="0" width="7"/>
    <col collapsed="false" customWidth="true" hidden="false" outlineLevel="0" max="17" min="17" style="0" width="12.33"/>
    <col collapsed="false" customWidth="true" hidden="false" outlineLevel="0" max="18" min="18" style="0" width="13.17"/>
    <col collapsed="false" customWidth="true" hidden="false" outlineLevel="0" max="19" min="19" style="0" width="13.5"/>
    <col collapsed="false" customWidth="true" hidden="false" outlineLevel="0" max="22" min="20" style="0" width="8.83"/>
    <col collapsed="false" customWidth="true" hidden="false" outlineLevel="0" max="23" min="23" style="0" width="11.33"/>
    <col collapsed="false" customWidth="true" hidden="false" outlineLevel="0" max="24" min="24" style="0" width="7.5"/>
    <col collapsed="false" customWidth="true" hidden="false" outlineLevel="0" max="25" min="25" style="0" width="11.5"/>
    <col collapsed="false" customWidth="true" hidden="false" outlineLevel="0" max="26" min="26" style="0" width="7.83"/>
    <col collapsed="false" customWidth="true" hidden="false" outlineLevel="0" max="27" min="27" style="0" width="16.5"/>
  </cols>
  <sheetData>
    <row r="1" s="26" customFormat="true" ht="15" hidden="false" customHeight="false" outlineLevel="0" collapsed="false">
      <c r="A1" s="24" t="s">
        <v>22</v>
      </c>
      <c r="B1" s="24" t="s">
        <v>23</v>
      </c>
      <c r="C1" s="24" t="s">
        <v>24</v>
      </c>
      <c r="D1" s="25" t="s">
        <v>25</v>
      </c>
      <c r="E1" s="24" t="s">
        <v>26</v>
      </c>
      <c r="F1" s="24" t="s">
        <v>27</v>
      </c>
      <c r="G1" s="24" t="s">
        <v>28</v>
      </c>
      <c r="H1" s="24" t="s">
        <v>29</v>
      </c>
      <c r="I1" s="24" t="s">
        <v>30</v>
      </c>
      <c r="J1" s="24" t="s">
        <v>31</v>
      </c>
      <c r="K1" s="24" t="s">
        <v>32</v>
      </c>
      <c r="L1" s="24" t="s">
        <v>33</v>
      </c>
      <c r="M1" s="24" t="s">
        <v>34</v>
      </c>
      <c r="N1" s="24" t="s">
        <v>36</v>
      </c>
      <c r="O1" s="24" t="s">
        <v>37</v>
      </c>
      <c r="P1" s="24" t="s">
        <v>38</v>
      </c>
      <c r="Q1" s="24" t="s">
        <v>39</v>
      </c>
      <c r="R1" s="24" t="s">
        <v>35</v>
      </c>
      <c r="S1" s="24" t="s">
        <v>40</v>
      </c>
    </row>
    <row r="2" customFormat="false" ht="16.15" hidden="false" customHeight="false" outlineLevel="0" collapsed="false">
      <c r="A2" s="27" t="s">
        <v>2</v>
      </c>
      <c r="B2" s="28" t="s">
        <v>41</v>
      </c>
      <c r="C2" s="29" t="n">
        <v>16919</v>
      </c>
      <c r="D2" s="30" t="n">
        <v>21500</v>
      </c>
      <c r="E2" s="30" t="n">
        <v>16360</v>
      </c>
      <c r="F2" s="31" t="n">
        <f aca="false">SUM(E2/D2)</f>
        <v>0.76093023255814</v>
      </c>
      <c r="G2" s="31" t="str">
        <f aca="false">IF(F2&gt;69%, "GOOD", "POOR")</f>
        <v>GOOD</v>
      </c>
      <c r="H2" s="32" t="n">
        <v>1.8</v>
      </c>
      <c r="I2" s="32" t="n">
        <v>140</v>
      </c>
      <c r="J2" s="32" t="str">
        <f aca="false" t="array" ref="J2:J2">_xlfn.IFS(I2&gt;299,"High HP",I2&gt;99,"Medium HP",I2&lt;100,"Low HP")</f>
        <v>Medium HP</v>
      </c>
      <c r="K2" s="32" t="s">
        <v>42</v>
      </c>
      <c r="L2" s="32" t="n">
        <v>28</v>
      </c>
      <c r="M2" s="32" t="n">
        <v>58.28014952</v>
      </c>
      <c r="N2" s="32" t="n">
        <v>101.2</v>
      </c>
      <c r="O2" s="32" t="n">
        <v>67.3</v>
      </c>
      <c r="P2" s="32" t="n">
        <v>172.4</v>
      </c>
      <c r="Q2" s="32" t="n">
        <v>2.639</v>
      </c>
      <c r="R2" s="32" t="n">
        <v>13.2</v>
      </c>
      <c r="S2" s="33" t="n">
        <v>40941</v>
      </c>
    </row>
    <row r="3" customFormat="false" ht="16.15" hidden="false" customHeight="false" outlineLevel="0" collapsed="false">
      <c r="A3" s="27" t="s">
        <v>2</v>
      </c>
      <c r="B3" s="28" t="s">
        <v>43</v>
      </c>
      <c r="C3" s="29" t="n">
        <v>39384</v>
      </c>
      <c r="D3" s="30" t="n">
        <v>28400</v>
      </c>
      <c r="E3" s="30" t="n">
        <v>19875</v>
      </c>
      <c r="F3" s="31" t="n">
        <f aca="false">SUM(E3/D3)</f>
        <v>0.699823943661972</v>
      </c>
      <c r="G3" s="31" t="str">
        <f aca="false">IF(F3&gt;69%, "GOOD", "POOR")</f>
        <v>GOOD</v>
      </c>
      <c r="H3" s="32" t="n">
        <v>3.2</v>
      </c>
      <c r="I3" s="32" t="n">
        <v>225</v>
      </c>
      <c r="J3" s="32" t="str">
        <f aca="false" t="array" ref="J3:J3">_xlfn.IFS(I3&gt;299,"High HP",I3&gt;99,"Medium HP",I3&lt;100,"Low HP")</f>
        <v>Medium HP</v>
      </c>
      <c r="K3" s="32" t="s">
        <v>42</v>
      </c>
      <c r="L3" s="32" t="n">
        <v>25</v>
      </c>
      <c r="M3" s="32" t="n">
        <v>91.37077766</v>
      </c>
      <c r="N3" s="32" t="n">
        <v>108.1</v>
      </c>
      <c r="O3" s="32" t="n">
        <v>70.3</v>
      </c>
      <c r="P3" s="32" t="n">
        <v>192.9</v>
      </c>
      <c r="Q3" s="32" t="n">
        <v>3.517</v>
      </c>
      <c r="R3" s="32" t="n">
        <v>17.2</v>
      </c>
      <c r="S3" s="33" t="n">
        <v>40697</v>
      </c>
    </row>
    <row r="4" customFormat="false" ht="16.15" hidden="false" customHeight="false" outlineLevel="0" collapsed="false">
      <c r="A4" s="27" t="s">
        <v>2</v>
      </c>
      <c r="B4" s="28" t="s">
        <v>44</v>
      </c>
      <c r="C4" s="29" t="n">
        <v>8588</v>
      </c>
      <c r="D4" s="30" t="n">
        <v>42000</v>
      </c>
      <c r="E4" s="30" t="n">
        <v>29725</v>
      </c>
      <c r="F4" s="31" t="n">
        <f aca="false">SUM(E4/D4)</f>
        <v>0.707738095238095</v>
      </c>
      <c r="G4" s="31" t="str">
        <f aca="false">IF(F4&gt;69%, "GOOD", "POOR")</f>
        <v>GOOD</v>
      </c>
      <c r="H4" s="32" t="n">
        <v>3.5</v>
      </c>
      <c r="I4" s="32" t="n">
        <v>210</v>
      </c>
      <c r="J4" s="32" t="str">
        <f aca="false" t="array" ref="J4:J4">_xlfn.IFS(I4&gt;299,"High HP",I4&gt;99,"Medium HP",I4&lt;100,"Low HP")</f>
        <v>Medium HP</v>
      </c>
      <c r="K4" s="32" t="s">
        <v>42</v>
      </c>
      <c r="L4" s="32" t="n">
        <v>22</v>
      </c>
      <c r="M4" s="32" t="n">
        <v>91.38977933</v>
      </c>
      <c r="N4" s="32" t="n">
        <v>114.6</v>
      </c>
      <c r="O4" s="32" t="n">
        <v>71.4</v>
      </c>
      <c r="P4" s="32" t="n">
        <v>196.6</v>
      </c>
      <c r="Q4" s="32" t="n">
        <v>3.85</v>
      </c>
      <c r="R4" s="32" t="n">
        <v>18</v>
      </c>
      <c r="S4" s="33" t="n">
        <v>40612</v>
      </c>
    </row>
    <row r="5" customFormat="false" ht="16.15" hidden="false" customHeight="false" outlineLevel="0" collapsed="false">
      <c r="A5" s="27" t="s">
        <v>45</v>
      </c>
      <c r="B5" s="28" t="s">
        <v>46</v>
      </c>
      <c r="C5" s="29" t="n">
        <v>20397</v>
      </c>
      <c r="D5" s="30" t="n">
        <v>23990</v>
      </c>
      <c r="E5" s="30" t="n">
        <v>22255</v>
      </c>
      <c r="F5" s="31" t="n">
        <f aca="false">SUM(E5/D5)</f>
        <v>0.927678199249687</v>
      </c>
      <c r="G5" s="31" t="str">
        <f aca="false">IF(F5&gt;69%, "GOOD", "POOR")</f>
        <v>GOOD</v>
      </c>
      <c r="H5" s="32" t="n">
        <v>1.8</v>
      </c>
      <c r="I5" s="32" t="n">
        <v>150</v>
      </c>
      <c r="J5" s="32" t="str">
        <f aca="false" t="array" ref="J5:J5">_xlfn.IFS(I5&gt;299,"High HP",I5&gt;99,"Medium HP",I5&lt;100,"Low HP")</f>
        <v>Medium HP</v>
      </c>
      <c r="K5" s="32" t="s">
        <v>42</v>
      </c>
      <c r="L5" s="32" t="n">
        <v>27</v>
      </c>
      <c r="M5" s="32" t="n">
        <v>62.7776392</v>
      </c>
      <c r="N5" s="32" t="n">
        <v>102.6</v>
      </c>
      <c r="O5" s="32" t="n">
        <v>68.2</v>
      </c>
      <c r="P5" s="32" t="n">
        <v>178</v>
      </c>
      <c r="Q5" s="32" t="n">
        <v>2.998</v>
      </c>
      <c r="R5" s="32" t="n">
        <v>16.4</v>
      </c>
      <c r="S5" s="33" t="n">
        <v>40824</v>
      </c>
      <c r="U5" s="26"/>
      <c r="W5" s="34"/>
    </row>
    <row r="6" customFormat="false" ht="16.15" hidden="false" customHeight="false" outlineLevel="0" collapsed="false">
      <c r="A6" s="27" t="s">
        <v>45</v>
      </c>
      <c r="B6" s="28" t="s">
        <v>47</v>
      </c>
      <c r="C6" s="29" t="n">
        <v>18780</v>
      </c>
      <c r="D6" s="30" t="n">
        <v>33950</v>
      </c>
      <c r="E6" s="30" t="n">
        <v>23555</v>
      </c>
      <c r="F6" s="31" t="n">
        <f aca="false">SUM(E6/D6)</f>
        <v>0.693814432989691</v>
      </c>
      <c r="G6" s="31" t="str">
        <f aca="false">IF(F6&gt;69%, "GOOD", "POOR")</f>
        <v>GOOD</v>
      </c>
      <c r="H6" s="32" t="n">
        <v>2.8</v>
      </c>
      <c r="I6" s="32" t="n">
        <v>200</v>
      </c>
      <c r="J6" s="32" t="str">
        <f aca="false" t="array" ref="J6:J6">_xlfn.IFS(I6&gt;299,"High HP",I6&gt;99,"Medium HP",I6&lt;100,"Low HP")</f>
        <v>Medium HP</v>
      </c>
      <c r="K6" s="32" t="s">
        <v>42</v>
      </c>
      <c r="L6" s="32" t="n">
        <v>22</v>
      </c>
      <c r="M6" s="32" t="n">
        <v>84.56510502</v>
      </c>
      <c r="N6" s="32" t="n">
        <v>108.7</v>
      </c>
      <c r="O6" s="32" t="n">
        <v>76.1</v>
      </c>
      <c r="P6" s="32" t="n">
        <v>192</v>
      </c>
      <c r="Q6" s="32" t="n">
        <v>3.561</v>
      </c>
      <c r="R6" s="32" t="n">
        <v>18.5</v>
      </c>
      <c r="S6" s="33" t="n">
        <v>40764</v>
      </c>
      <c r="W6" s="34"/>
    </row>
    <row r="7" customFormat="false" ht="16.15" hidden="false" customHeight="false" outlineLevel="0" collapsed="false">
      <c r="A7" s="27" t="s">
        <v>45</v>
      </c>
      <c r="B7" s="28" t="s">
        <v>48</v>
      </c>
      <c r="C7" s="29" t="n">
        <v>1380</v>
      </c>
      <c r="D7" s="30" t="n">
        <v>62000</v>
      </c>
      <c r="E7" s="30" t="n">
        <v>39000</v>
      </c>
      <c r="F7" s="31" t="n">
        <f aca="false">SUM(E7/D7)</f>
        <v>0.629032258064516</v>
      </c>
      <c r="G7" s="31" t="str">
        <f aca="false">IF(F7&gt;69%, "GOOD", "POOR")</f>
        <v>POOR</v>
      </c>
      <c r="H7" s="32" t="n">
        <v>4.2</v>
      </c>
      <c r="I7" s="32" t="n">
        <v>310</v>
      </c>
      <c r="J7" s="32" t="str">
        <f aca="false" t="array" ref="J7:J7">_xlfn.IFS(I7&gt;299,"High HP",I7&gt;99,"Medium HP",I7&lt;100,"Low HP")</f>
        <v>High HP</v>
      </c>
      <c r="K7" s="32" t="s">
        <v>42</v>
      </c>
      <c r="L7" s="32" t="n">
        <v>21</v>
      </c>
      <c r="M7" s="32" t="n">
        <v>134.6568582</v>
      </c>
      <c r="N7" s="32" t="n">
        <v>113</v>
      </c>
      <c r="O7" s="32" t="n">
        <v>74</v>
      </c>
      <c r="P7" s="32" t="n">
        <v>198.2</v>
      </c>
      <c r="Q7" s="32" t="n">
        <v>3.902</v>
      </c>
      <c r="R7" s="32" t="n">
        <v>23.7</v>
      </c>
      <c r="S7" s="33" t="n">
        <v>40966</v>
      </c>
      <c r="W7" s="34"/>
    </row>
    <row r="8" customFormat="false" ht="16.15" hidden="false" customHeight="false" outlineLevel="0" collapsed="false">
      <c r="A8" s="27" t="s">
        <v>49</v>
      </c>
      <c r="B8" s="28" t="s">
        <v>50</v>
      </c>
      <c r="C8" s="29" t="n">
        <v>19747</v>
      </c>
      <c r="D8" s="30" t="n">
        <v>26990</v>
      </c>
      <c r="E8" s="30" t="n">
        <v>24500</v>
      </c>
      <c r="F8" s="31" t="n">
        <f aca="false">SUM(E8/D8)</f>
        <v>0.907743608743979</v>
      </c>
      <c r="G8" s="31" t="str">
        <f aca="false">IF(F8&gt;69%, "GOOD", "POOR")</f>
        <v>GOOD</v>
      </c>
      <c r="H8" s="32" t="n">
        <v>2.5</v>
      </c>
      <c r="I8" s="32" t="n">
        <v>170</v>
      </c>
      <c r="J8" s="32" t="str">
        <f aca="false" t="array" ref="J8:J8">_xlfn.IFS(I8&gt;299,"High HP",I8&gt;99,"Medium HP",I8&lt;100,"Low HP")</f>
        <v>Medium HP</v>
      </c>
      <c r="K8" s="32" t="s">
        <v>42</v>
      </c>
      <c r="L8" s="32" t="n">
        <v>26</v>
      </c>
      <c r="M8" s="32" t="n">
        <v>71.19120671</v>
      </c>
      <c r="N8" s="32" t="n">
        <v>107.3</v>
      </c>
      <c r="O8" s="32" t="n">
        <v>68.4</v>
      </c>
      <c r="P8" s="32" t="n">
        <v>176</v>
      </c>
      <c r="Q8" s="32" t="n">
        <v>3.179</v>
      </c>
      <c r="R8" s="32" t="n">
        <v>16.6</v>
      </c>
      <c r="S8" s="33" t="n">
        <v>40722</v>
      </c>
      <c r="W8" s="34"/>
    </row>
    <row r="9" customFormat="false" ht="16.15" hidden="false" customHeight="false" outlineLevel="0" collapsed="false">
      <c r="A9" s="27" t="s">
        <v>49</v>
      </c>
      <c r="B9" s="28" t="s">
        <v>51</v>
      </c>
      <c r="C9" s="29" t="n">
        <v>9231</v>
      </c>
      <c r="D9" s="30" t="n">
        <v>33400</v>
      </c>
      <c r="E9" s="30" t="n">
        <v>28675</v>
      </c>
      <c r="F9" s="31" t="n">
        <f aca="false">SUM(E9/D9)</f>
        <v>0.858532934131737</v>
      </c>
      <c r="G9" s="31" t="str">
        <f aca="false">IF(F9&gt;69%, "GOOD", "POOR")</f>
        <v>GOOD</v>
      </c>
      <c r="H9" s="32" t="n">
        <v>2.8</v>
      </c>
      <c r="I9" s="32" t="n">
        <v>193</v>
      </c>
      <c r="J9" s="32" t="str">
        <f aca="false" t="array" ref="J9:J9">_xlfn.IFS(I9&gt;299,"High HP",I9&gt;99,"Medium HP",I9&lt;100,"Low HP")</f>
        <v>Medium HP</v>
      </c>
      <c r="K9" s="32" t="s">
        <v>42</v>
      </c>
      <c r="L9" s="32" t="n">
        <v>24</v>
      </c>
      <c r="M9" s="32" t="n">
        <v>81.87706856</v>
      </c>
      <c r="N9" s="32" t="n">
        <v>107.3</v>
      </c>
      <c r="O9" s="32" t="n">
        <v>68.5</v>
      </c>
      <c r="P9" s="32" t="n">
        <v>176</v>
      </c>
      <c r="Q9" s="32" t="n">
        <v>3.197</v>
      </c>
      <c r="R9" s="32" t="n">
        <v>16.6</v>
      </c>
      <c r="S9" s="33" t="n">
        <v>40937</v>
      </c>
      <c r="W9" s="34"/>
    </row>
    <row r="10" customFormat="false" ht="16.15" hidden="false" customHeight="false" outlineLevel="0" collapsed="false">
      <c r="A10" s="27" t="s">
        <v>49</v>
      </c>
      <c r="B10" s="28" t="s">
        <v>52</v>
      </c>
      <c r="C10" s="29" t="n">
        <v>17527</v>
      </c>
      <c r="D10" s="30" t="n">
        <v>38900</v>
      </c>
      <c r="E10" s="30" t="n">
        <v>36125</v>
      </c>
      <c r="F10" s="31" t="n">
        <f aca="false">SUM(E10/D10)</f>
        <v>0.92866323907455</v>
      </c>
      <c r="G10" s="31" t="str">
        <f aca="false">IF(F10&gt;69%, "GOOD", "POOR")</f>
        <v>GOOD</v>
      </c>
      <c r="H10" s="32" t="n">
        <v>2.8</v>
      </c>
      <c r="I10" s="32" t="n">
        <v>193</v>
      </c>
      <c r="J10" s="32" t="str">
        <f aca="false" t="array" ref="J10:J10">_xlfn.IFS(I10&gt;299,"High HP",I10&gt;99,"Medium HP",I10&lt;100,"Low HP")</f>
        <v>Medium HP</v>
      </c>
      <c r="K10" s="32" t="s">
        <v>42</v>
      </c>
      <c r="L10" s="32" t="n">
        <v>25</v>
      </c>
      <c r="M10" s="32" t="n">
        <v>83.9987238</v>
      </c>
      <c r="N10" s="32" t="n">
        <v>111.4</v>
      </c>
      <c r="O10" s="32" t="n">
        <v>70.9</v>
      </c>
      <c r="P10" s="32" t="n">
        <v>188</v>
      </c>
      <c r="Q10" s="32" t="n">
        <v>3.472</v>
      </c>
      <c r="R10" s="32" t="n">
        <v>18.5</v>
      </c>
      <c r="S10" s="33" t="n">
        <v>40637</v>
      </c>
      <c r="W10" s="34"/>
    </row>
    <row r="11" customFormat="false" ht="16.15" hidden="false" customHeight="false" outlineLevel="0" collapsed="false">
      <c r="A11" s="27" t="s">
        <v>53</v>
      </c>
      <c r="B11" s="28" t="s">
        <v>54</v>
      </c>
      <c r="C11" s="29" t="n">
        <v>91561</v>
      </c>
      <c r="D11" s="30" t="n">
        <v>21975</v>
      </c>
      <c r="E11" s="30" t="n">
        <v>12475</v>
      </c>
      <c r="F11" s="31" t="n">
        <f aca="false">SUM(E11/D11)</f>
        <v>0.56769055745165</v>
      </c>
      <c r="G11" s="31" t="str">
        <f aca="false">IF(F11&gt;69%, "GOOD", "POOR")</f>
        <v>POOR</v>
      </c>
      <c r="H11" s="32" t="n">
        <v>3.1</v>
      </c>
      <c r="I11" s="32" t="n">
        <v>175</v>
      </c>
      <c r="J11" s="32" t="str">
        <f aca="false" t="array" ref="J11:J11">_xlfn.IFS(I11&gt;299,"High HP",I11&gt;99,"Medium HP",I11&lt;100,"Low HP")</f>
        <v>Medium HP</v>
      </c>
      <c r="K11" s="32" t="s">
        <v>42</v>
      </c>
      <c r="L11" s="32" t="n">
        <v>25</v>
      </c>
      <c r="M11" s="32" t="n">
        <v>71.18145132</v>
      </c>
      <c r="N11" s="32" t="n">
        <v>109</v>
      </c>
      <c r="O11" s="32" t="n">
        <v>72.7</v>
      </c>
      <c r="P11" s="32" t="n">
        <v>194.6</v>
      </c>
      <c r="Q11" s="32" t="n">
        <v>3.368</v>
      </c>
      <c r="R11" s="32" t="n">
        <v>17.5</v>
      </c>
      <c r="S11" s="33" t="n">
        <v>40849</v>
      </c>
      <c r="W11" s="34"/>
    </row>
    <row r="12" customFormat="false" ht="16.15" hidden="false" customHeight="false" outlineLevel="0" collapsed="false">
      <c r="A12" s="27" t="s">
        <v>53</v>
      </c>
      <c r="B12" s="28" t="s">
        <v>55</v>
      </c>
      <c r="C12" s="29" t="n">
        <v>39350</v>
      </c>
      <c r="D12" s="30" t="n">
        <v>25300</v>
      </c>
      <c r="E12" s="30" t="n">
        <v>13740</v>
      </c>
      <c r="F12" s="31" t="n">
        <f aca="false">SUM(E12/D12)</f>
        <v>0.543083003952569</v>
      </c>
      <c r="G12" s="31" t="str">
        <f aca="false">IF(F12&gt;69%, "GOOD", "POOR")</f>
        <v>POOR</v>
      </c>
      <c r="H12" s="32" t="n">
        <v>3.8</v>
      </c>
      <c r="I12" s="32" t="n">
        <v>240</v>
      </c>
      <c r="J12" s="32" t="str">
        <f aca="false" t="array" ref="J12:J12">_xlfn.IFS(I12&gt;299,"High HP",I12&gt;99,"Medium HP",I12&lt;100,"Low HP")</f>
        <v>Medium HP</v>
      </c>
      <c r="K12" s="32" t="s">
        <v>42</v>
      </c>
      <c r="L12" s="32" t="n">
        <v>23</v>
      </c>
      <c r="M12" s="32" t="n">
        <v>95.63670253</v>
      </c>
      <c r="N12" s="32" t="n">
        <v>109</v>
      </c>
      <c r="O12" s="32" t="n">
        <v>72.7</v>
      </c>
      <c r="P12" s="32" t="n">
        <v>196.2</v>
      </c>
      <c r="Q12" s="32" t="n">
        <v>3.543</v>
      </c>
      <c r="R12" s="32" t="n">
        <v>17.5</v>
      </c>
      <c r="S12" s="33" t="n">
        <v>40789</v>
      </c>
      <c r="W12" s="34"/>
    </row>
    <row r="13" customFormat="false" ht="16.15" hidden="false" customHeight="false" outlineLevel="0" collapsed="false">
      <c r="A13" s="27" t="s">
        <v>53</v>
      </c>
      <c r="B13" s="28" t="s">
        <v>56</v>
      </c>
      <c r="C13" s="29" t="n">
        <v>27851</v>
      </c>
      <c r="D13" s="30" t="n">
        <v>31965</v>
      </c>
      <c r="E13" s="30" t="n">
        <v>20190</v>
      </c>
      <c r="F13" s="31" t="n">
        <f aca="false">SUM(E13/D13)</f>
        <v>0.631628343500704</v>
      </c>
      <c r="G13" s="31" t="str">
        <f aca="false">IF(F13&gt;69%, "GOOD", "POOR")</f>
        <v>POOR</v>
      </c>
      <c r="H13" s="32" t="n">
        <v>3.8</v>
      </c>
      <c r="I13" s="32" t="n">
        <v>205</v>
      </c>
      <c r="J13" s="32" t="str">
        <f aca="false" t="array" ref="J13:J13">_xlfn.IFS(I13&gt;299,"High HP",I13&gt;99,"Medium HP",I13&lt;100,"Low HP")</f>
        <v>Medium HP</v>
      </c>
      <c r="K13" s="32" t="s">
        <v>42</v>
      </c>
      <c r="L13" s="32" t="n">
        <v>24</v>
      </c>
      <c r="M13" s="32" t="n">
        <v>85.82840825</v>
      </c>
      <c r="N13" s="32" t="n">
        <v>113.8</v>
      </c>
      <c r="O13" s="32" t="n">
        <v>74.7</v>
      </c>
      <c r="P13" s="32" t="n">
        <v>206.8</v>
      </c>
      <c r="Q13" s="32" t="n">
        <v>3.778</v>
      </c>
      <c r="R13" s="32" t="n">
        <v>18.5</v>
      </c>
      <c r="S13" s="33" t="n">
        <v>40991</v>
      </c>
      <c r="W13" s="34"/>
    </row>
    <row r="14" customFormat="false" ht="16.15" hidden="false" customHeight="false" outlineLevel="0" collapsed="false">
      <c r="A14" s="27" t="s">
        <v>53</v>
      </c>
      <c r="B14" s="28" t="s">
        <v>57</v>
      </c>
      <c r="C14" s="29" t="n">
        <v>83257</v>
      </c>
      <c r="D14" s="30" t="n">
        <v>27885</v>
      </c>
      <c r="E14" s="30" t="n">
        <v>13360</v>
      </c>
      <c r="F14" s="31" t="n">
        <f aca="false">SUM(E14/D14)</f>
        <v>0.479110632956787</v>
      </c>
      <c r="G14" s="31" t="str">
        <f aca="false">IF(F14&gt;69%, "GOOD", "POOR")</f>
        <v>POOR</v>
      </c>
      <c r="H14" s="32" t="n">
        <v>3.8</v>
      </c>
      <c r="I14" s="32" t="n">
        <v>205</v>
      </c>
      <c r="J14" s="32" t="str">
        <f aca="false" t="array" ref="J14:J14">_xlfn.IFS(I14&gt;299,"High HP",I14&gt;99,"Medium HP",I14&lt;100,"Low HP")</f>
        <v>Medium HP</v>
      </c>
      <c r="K14" s="32" t="s">
        <v>42</v>
      </c>
      <c r="L14" s="32" t="n">
        <v>25</v>
      </c>
      <c r="M14" s="32" t="n">
        <v>84.25452581</v>
      </c>
      <c r="N14" s="32" t="n">
        <v>112.2</v>
      </c>
      <c r="O14" s="32" t="n">
        <v>73.5</v>
      </c>
      <c r="P14" s="32" t="n">
        <v>200</v>
      </c>
      <c r="Q14" s="32" t="n">
        <v>3.591</v>
      </c>
      <c r="R14" s="32" t="n">
        <v>17.5</v>
      </c>
      <c r="S14" s="33" t="n">
        <v>40747</v>
      </c>
    </row>
    <row r="15" customFormat="false" ht="16.15" hidden="false" customHeight="false" outlineLevel="0" collapsed="false">
      <c r="A15" s="27" t="s">
        <v>58</v>
      </c>
      <c r="B15" s="28" t="s">
        <v>59</v>
      </c>
      <c r="C15" s="29" t="n">
        <v>63729</v>
      </c>
      <c r="D15" s="30" t="n">
        <v>39895</v>
      </c>
      <c r="E15" s="30" t="n">
        <v>22525</v>
      </c>
      <c r="F15" s="31" t="n">
        <f aca="false">SUM(E15/D15)</f>
        <v>0.564607093620755</v>
      </c>
      <c r="G15" s="31" t="str">
        <f aca="false">IF(F15&gt;69%, "GOOD", "POOR")</f>
        <v>POOR</v>
      </c>
      <c r="H15" s="32" t="n">
        <v>4.6</v>
      </c>
      <c r="I15" s="32" t="n">
        <v>275</v>
      </c>
      <c r="J15" s="32" t="str">
        <f aca="false" t="array" ref="J15:J15">_xlfn.IFS(I15&gt;299,"High HP",I15&gt;99,"Medium HP",I15&lt;100,"Low HP")</f>
        <v>Medium HP</v>
      </c>
      <c r="K15" s="32" t="s">
        <v>42</v>
      </c>
      <c r="L15" s="32" t="n">
        <v>22</v>
      </c>
      <c r="M15" s="32" t="n">
        <v>113.8545976</v>
      </c>
      <c r="N15" s="32" t="n">
        <v>115.3</v>
      </c>
      <c r="O15" s="32" t="n">
        <v>74.5</v>
      </c>
      <c r="P15" s="32" t="n">
        <v>207.2</v>
      </c>
      <c r="Q15" s="32" t="n">
        <v>3.978</v>
      </c>
      <c r="R15" s="32" t="n">
        <v>18.5</v>
      </c>
      <c r="S15" s="33" t="n">
        <v>40962</v>
      </c>
    </row>
    <row r="16" customFormat="false" ht="16.15" hidden="false" customHeight="false" outlineLevel="0" collapsed="false">
      <c r="A16" s="27" t="s">
        <v>58</v>
      </c>
      <c r="B16" s="28" t="s">
        <v>60</v>
      </c>
      <c r="C16" s="29" t="n">
        <v>15943</v>
      </c>
      <c r="D16" s="30" t="n">
        <v>44475</v>
      </c>
      <c r="E16" s="30" t="n">
        <v>27100</v>
      </c>
      <c r="F16" s="31" t="n">
        <f aca="false">SUM(E16/D16)</f>
        <v>0.609331084879146</v>
      </c>
      <c r="G16" s="31" t="str">
        <f aca="false">IF(F16&gt;69%, "GOOD", "POOR")</f>
        <v>POOR</v>
      </c>
      <c r="H16" s="32" t="n">
        <v>4.6</v>
      </c>
      <c r="I16" s="32" t="n">
        <v>275</v>
      </c>
      <c r="J16" s="32" t="str">
        <f aca="false" t="array" ref="J16:J16">_xlfn.IFS(I16&gt;299,"High HP",I16&gt;99,"Medium HP",I16&lt;100,"Low HP")</f>
        <v>Medium HP</v>
      </c>
      <c r="K16" s="32" t="s">
        <v>42</v>
      </c>
      <c r="L16" s="32" t="n">
        <v>22</v>
      </c>
      <c r="M16" s="32" t="n">
        <v>115.6213578</v>
      </c>
      <c r="N16" s="32" t="n">
        <v>112.2</v>
      </c>
      <c r="O16" s="32" t="n">
        <v>75</v>
      </c>
      <c r="P16" s="32" t="n">
        <v>201</v>
      </c>
      <c r="Q16" s="32" t="n">
        <v>3.875</v>
      </c>
      <c r="R16" s="32" t="n">
        <v>18.5</v>
      </c>
      <c r="S16" s="33" t="n">
        <v>40662</v>
      </c>
      <c r="V16" s="34"/>
    </row>
    <row r="17" customFormat="false" ht="16.15" hidden="false" customHeight="false" outlineLevel="0" collapsed="false">
      <c r="A17" s="27" t="s">
        <v>58</v>
      </c>
      <c r="B17" s="28" t="s">
        <v>61</v>
      </c>
      <c r="C17" s="29" t="n">
        <v>6536</v>
      </c>
      <c r="D17" s="30" t="n">
        <v>39665</v>
      </c>
      <c r="E17" s="30" t="n">
        <v>25725</v>
      </c>
      <c r="F17" s="31" t="n">
        <f aca="false">SUM(E17/D17)</f>
        <v>0.648556662044624</v>
      </c>
      <c r="G17" s="31" t="str">
        <f aca="false">IF(F17&gt;69%, "GOOD", "POOR")</f>
        <v>POOR</v>
      </c>
      <c r="H17" s="32" t="n">
        <v>4.6</v>
      </c>
      <c r="I17" s="32" t="n">
        <v>275</v>
      </c>
      <c r="J17" s="32" t="str">
        <f aca="false" t="array" ref="J17:J17">_xlfn.IFS(I17&gt;299,"High HP",I17&gt;99,"Medium HP",I17&lt;100,"Low HP")</f>
        <v>Medium HP</v>
      </c>
      <c r="K17" s="32" t="s">
        <v>42</v>
      </c>
      <c r="L17" s="32" t="n">
        <v>22</v>
      </c>
      <c r="M17" s="32" t="n">
        <v>113.7658739</v>
      </c>
      <c r="N17" s="32" t="n">
        <v>108</v>
      </c>
      <c r="O17" s="32" t="n">
        <v>75.5</v>
      </c>
      <c r="P17" s="32" t="n">
        <v>200.6</v>
      </c>
      <c r="Q17" s="32" t="n">
        <v>3.843</v>
      </c>
      <c r="R17" s="32" t="n">
        <v>19</v>
      </c>
      <c r="S17" s="33" t="n">
        <v>40874</v>
      </c>
    </row>
    <row r="18" customFormat="false" ht="16.15" hidden="false" customHeight="false" outlineLevel="0" collapsed="false">
      <c r="A18" s="27" t="s">
        <v>58</v>
      </c>
      <c r="B18" s="28" t="s">
        <v>62</v>
      </c>
      <c r="C18" s="29" t="n">
        <v>11185</v>
      </c>
      <c r="D18" s="30" t="n">
        <v>31010</v>
      </c>
      <c r="E18" s="30" t="n">
        <v>18225</v>
      </c>
      <c r="F18" s="31" t="n">
        <f aca="false">SUM(E18/D18)</f>
        <v>0.587713640761045</v>
      </c>
      <c r="G18" s="31" t="str">
        <f aca="false">IF(F18&gt;69%, "GOOD", "POOR")</f>
        <v>POOR</v>
      </c>
      <c r="H18" s="32" t="n">
        <v>3</v>
      </c>
      <c r="I18" s="32" t="n">
        <v>200</v>
      </c>
      <c r="J18" s="32" t="str">
        <f aca="false" t="array" ref="J18:J18">_xlfn.IFS(I18&gt;299,"High HP",I18&gt;99,"Medium HP",I18&lt;100,"Low HP")</f>
        <v>Medium HP</v>
      </c>
      <c r="K18" s="32" t="s">
        <v>42</v>
      </c>
      <c r="L18" s="32" t="n">
        <v>22</v>
      </c>
      <c r="M18" s="32" t="n">
        <v>83.48309358</v>
      </c>
      <c r="N18" s="32" t="n">
        <v>107.4</v>
      </c>
      <c r="O18" s="32" t="n">
        <v>70.3</v>
      </c>
      <c r="P18" s="32" t="n">
        <v>194.8</v>
      </c>
      <c r="Q18" s="32" t="n">
        <v>3.77</v>
      </c>
      <c r="R18" s="32" t="n">
        <v>18</v>
      </c>
      <c r="S18" s="33" t="n">
        <v>40814</v>
      </c>
    </row>
    <row r="19" customFormat="false" ht="16.15" hidden="false" customHeight="false" outlineLevel="0" collapsed="false">
      <c r="A19" s="27" t="s">
        <v>58</v>
      </c>
      <c r="B19" s="28" t="s">
        <v>63</v>
      </c>
      <c r="C19" s="29" t="n">
        <v>14785</v>
      </c>
      <c r="D19" s="30" t="n">
        <v>46225</v>
      </c>
      <c r="E19" s="30" t="n">
        <v>31245</v>
      </c>
      <c r="F19" s="31" t="n">
        <f aca="false">SUM(E19/D19)</f>
        <v>0.675932936722553</v>
      </c>
      <c r="G19" s="31" t="str">
        <f aca="false">IF(F19&gt;69%, "GOOD", "POOR")</f>
        <v>POOR</v>
      </c>
      <c r="H19" s="32" t="n">
        <v>5.7</v>
      </c>
      <c r="I19" s="32" t="n">
        <v>255</v>
      </c>
      <c r="J19" s="32" t="str">
        <f aca="false" t="array" ref="J19:J19">_xlfn.IFS(I19&gt;299,"High HP",I19&gt;99,"Medium HP",I19&lt;100,"Low HP")</f>
        <v>Medium HP</v>
      </c>
      <c r="K19" s="32" t="s">
        <v>64</v>
      </c>
      <c r="L19" s="32" t="n">
        <v>15</v>
      </c>
      <c r="M19" s="32" t="n">
        <v>109.5091165</v>
      </c>
      <c r="N19" s="32" t="n">
        <v>117.5</v>
      </c>
      <c r="O19" s="32" t="n">
        <v>77</v>
      </c>
      <c r="P19" s="32" t="n">
        <v>201.2</v>
      </c>
      <c r="Q19" s="32" t="n">
        <v>5.572</v>
      </c>
      <c r="R19" s="32" t="n">
        <v>30</v>
      </c>
      <c r="S19" s="33" t="n">
        <v>41016</v>
      </c>
    </row>
    <row r="20" customFormat="false" ht="16.15" hidden="false" customHeight="false" outlineLevel="0" collapsed="false">
      <c r="A20" s="27" t="s">
        <v>65</v>
      </c>
      <c r="B20" s="28" t="s">
        <v>66</v>
      </c>
      <c r="C20" s="29" t="n">
        <v>145519</v>
      </c>
      <c r="D20" s="30" t="n">
        <v>13260</v>
      </c>
      <c r="E20" s="30" t="n">
        <v>9250</v>
      </c>
      <c r="F20" s="31" t="n">
        <f aca="false">SUM(E20/D20)</f>
        <v>0.697586726998492</v>
      </c>
      <c r="G20" s="31" t="str">
        <f aca="false">IF(F20&gt;69%, "GOOD", "POOR")</f>
        <v>GOOD</v>
      </c>
      <c r="H20" s="32" t="n">
        <v>2.2</v>
      </c>
      <c r="I20" s="32" t="n">
        <v>115</v>
      </c>
      <c r="J20" s="32" t="str">
        <f aca="false" t="array" ref="J20:J20">_xlfn.IFS(I20&gt;299,"High HP",I20&gt;99,"Medium HP",I20&lt;100,"Low HP")</f>
        <v>Medium HP</v>
      </c>
      <c r="K20" s="32" t="s">
        <v>42</v>
      </c>
      <c r="L20" s="32" t="n">
        <v>27</v>
      </c>
      <c r="M20" s="32" t="n">
        <v>46.36334747</v>
      </c>
      <c r="N20" s="32" t="n">
        <v>104.1</v>
      </c>
      <c r="O20" s="32" t="n">
        <v>67.9</v>
      </c>
      <c r="P20" s="32" t="n">
        <v>180.9</v>
      </c>
      <c r="Q20" s="32" t="n">
        <v>2.676</v>
      </c>
      <c r="R20" s="32" t="n">
        <v>14.3</v>
      </c>
      <c r="S20" s="33" t="n">
        <v>40772</v>
      </c>
    </row>
    <row r="21" customFormat="false" ht="16.15" hidden="false" customHeight="false" outlineLevel="0" collapsed="false">
      <c r="A21" s="27" t="s">
        <v>65</v>
      </c>
      <c r="B21" s="28" t="s">
        <v>67</v>
      </c>
      <c r="C21" s="29" t="n">
        <v>135126</v>
      </c>
      <c r="D21" s="30" t="n">
        <v>16535</v>
      </c>
      <c r="E21" s="30" t="n">
        <v>11225</v>
      </c>
      <c r="F21" s="31" t="n">
        <f aca="false">SUM(E21/D21)</f>
        <v>0.678863017840944</v>
      </c>
      <c r="G21" s="31" t="str">
        <f aca="false">IF(F21&gt;69%, "GOOD", "POOR")</f>
        <v>POOR</v>
      </c>
      <c r="H21" s="32" t="n">
        <v>3.1</v>
      </c>
      <c r="I21" s="32" t="n">
        <v>170</v>
      </c>
      <c r="J21" s="32" t="str">
        <f aca="false" t="array" ref="J21:J21">_xlfn.IFS(I21&gt;299,"High HP",I21&gt;99,"Medium HP",I21&lt;100,"Low HP")</f>
        <v>Medium HP</v>
      </c>
      <c r="K21" s="32" t="s">
        <v>42</v>
      </c>
      <c r="L21" s="32" t="n">
        <v>25</v>
      </c>
      <c r="M21" s="32" t="n">
        <v>67.31446216</v>
      </c>
      <c r="N21" s="32" t="n">
        <v>107</v>
      </c>
      <c r="O21" s="32" t="n">
        <v>69.4</v>
      </c>
      <c r="P21" s="32" t="n">
        <v>190.4</v>
      </c>
      <c r="Q21" s="32" t="n">
        <v>3.051</v>
      </c>
      <c r="R21" s="32" t="n">
        <v>15</v>
      </c>
      <c r="S21" s="33" t="n">
        <v>40987</v>
      </c>
      <c r="V21" s="26"/>
      <c r="W21" s="26"/>
      <c r="X21" s="35"/>
      <c r="Y21" s="35"/>
      <c r="Z21" s="35"/>
    </row>
    <row r="22" customFormat="false" ht="16.15" hidden="false" customHeight="false" outlineLevel="0" collapsed="false">
      <c r="A22" s="27" t="s">
        <v>65</v>
      </c>
      <c r="B22" s="28" t="s">
        <v>68</v>
      </c>
      <c r="C22" s="29" t="n">
        <v>24629</v>
      </c>
      <c r="D22" s="30" t="n">
        <v>18890</v>
      </c>
      <c r="E22" s="30" t="n">
        <v>10310</v>
      </c>
      <c r="F22" s="31" t="n">
        <f aca="false">SUM(E22/D22)</f>
        <v>0.54579142403388</v>
      </c>
      <c r="G22" s="31" t="str">
        <f aca="false">IF(F22&gt;69%, "GOOD", "POOR")</f>
        <v>POOR</v>
      </c>
      <c r="H22" s="32" t="n">
        <v>3.1</v>
      </c>
      <c r="I22" s="32" t="n">
        <v>175</v>
      </c>
      <c r="J22" s="32" t="str">
        <f aca="false" t="array" ref="J22:J22">_xlfn.IFS(I22&gt;299,"High HP",I22&gt;99,"Medium HP",I22&lt;100,"Low HP")</f>
        <v>Medium HP</v>
      </c>
      <c r="K22" s="32" t="s">
        <v>42</v>
      </c>
      <c r="L22" s="32" t="n">
        <v>25</v>
      </c>
      <c r="M22" s="32" t="n">
        <v>69.9913956</v>
      </c>
      <c r="N22" s="32" t="n">
        <v>107.5</v>
      </c>
      <c r="O22" s="32" t="n">
        <v>72.5</v>
      </c>
      <c r="P22" s="32" t="n">
        <v>200.9</v>
      </c>
      <c r="Q22" s="32" t="n">
        <v>3.33</v>
      </c>
      <c r="R22" s="32" t="n">
        <v>16.6</v>
      </c>
      <c r="S22" s="33" t="n">
        <v>40687</v>
      </c>
      <c r="X22" s="36"/>
      <c r="Y22" s="36"/>
      <c r="Z22" s="36"/>
    </row>
    <row r="23" customFormat="false" ht="16.15" hidden="false" customHeight="false" outlineLevel="0" collapsed="false">
      <c r="A23" s="27" t="s">
        <v>65</v>
      </c>
      <c r="B23" s="28" t="s">
        <v>69</v>
      </c>
      <c r="C23" s="29" t="n">
        <v>42593</v>
      </c>
      <c r="D23" s="30" t="n">
        <v>19390</v>
      </c>
      <c r="E23" s="30" t="n">
        <v>11525</v>
      </c>
      <c r="F23" s="31" t="n">
        <f aca="false">SUM(E23/D23)</f>
        <v>0.594378545642084</v>
      </c>
      <c r="G23" s="31" t="str">
        <f aca="false">IF(F23&gt;69%, "GOOD", "POOR")</f>
        <v>POOR</v>
      </c>
      <c r="H23" s="32" t="n">
        <v>3.4</v>
      </c>
      <c r="I23" s="32" t="n">
        <v>180</v>
      </c>
      <c r="J23" s="32" t="str">
        <f aca="false" t="array" ref="J23:J23">_xlfn.IFS(I23&gt;299,"High HP",I23&gt;99,"Medium HP",I23&lt;100,"Low HP")</f>
        <v>Medium HP</v>
      </c>
      <c r="K23" s="32" t="s">
        <v>42</v>
      </c>
      <c r="L23" s="32" t="n">
        <v>27</v>
      </c>
      <c r="M23" s="32" t="n">
        <v>72.03091719</v>
      </c>
      <c r="N23" s="32" t="n">
        <v>110.5</v>
      </c>
      <c r="O23" s="32" t="n">
        <v>72.7</v>
      </c>
      <c r="P23" s="32" t="n">
        <v>197.9</v>
      </c>
      <c r="Q23" s="32" t="n">
        <v>3.34</v>
      </c>
      <c r="R23" s="32" t="n">
        <v>17</v>
      </c>
      <c r="S23" s="33" t="n">
        <v>40899</v>
      </c>
    </row>
    <row r="24" customFormat="false" ht="16.15" hidden="false" customHeight="false" outlineLevel="0" collapsed="false">
      <c r="A24" s="27" t="s">
        <v>65</v>
      </c>
      <c r="B24" s="28" t="s">
        <v>70</v>
      </c>
      <c r="C24" s="29" t="n">
        <v>26402</v>
      </c>
      <c r="D24" s="30" t="n">
        <v>24340</v>
      </c>
      <c r="E24" s="30" t="n">
        <v>13025</v>
      </c>
      <c r="F24" s="31" t="n">
        <f aca="false">SUM(E24/D24)</f>
        <v>0.535127362366475</v>
      </c>
      <c r="G24" s="31" t="str">
        <f aca="false">IF(F24&gt;69%, "GOOD", "POOR")</f>
        <v>POOR</v>
      </c>
      <c r="H24" s="32" t="n">
        <v>3.8</v>
      </c>
      <c r="I24" s="32" t="n">
        <v>200</v>
      </c>
      <c r="J24" s="32" t="str">
        <f aca="false" t="array" ref="J24:J24">_xlfn.IFS(I24&gt;299,"High HP",I24&gt;99,"Medium HP",I24&lt;100,"Low HP")</f>
        <v>Medium HP</v>
      </c>
      <c r="K24" s="32" t="s">
        <v>42</v>
      </c>
      <c r="L24" s="32" t="n">
        <v>25</v>
      </c>
      <c r="M24" s="32" t="n">
        <v>81.11854333</v>
      </c>
      <c r="N24" s="32" t="n">
        <v>101.1</v>
      </c>
      <c r="O24" s="32" t="n">
        <v>74.1</v>
      </c>
      <c r="P24" s="32" t="n">
        <v>193.2</v>
      </c>
      <c r="Q24" s="32" t="n">
        <v>3.5</v>
      </c>
      <c r="R24" s="32" t="n">
        <v>16.8</v>
      </c>
      <c r="S24" s="33" t="n">
        <v>40839</v>
      </c>
    </row>
    <row r="25" customFormat="false" ht="16.15" hidden="false" customHeight="false" outlineLevel="0" collapsed="false">
      <c r="A25" s="27" t="s">
        <v>65</v>
      </c>
      <c r="B25" s="28" t="s">
        <v>71</v>
      </c>
      <c r="C25" s="29" t="n">
        <v>17947</v>
      </c>
      <c r="D25" s="30" t="n">
        <v>55705</v>
      </c>
      <c r="E25" s="30" t="n">
        <v>36225</v>
      </c>
      <c r="F25" s="31" t="n">
        <f aca="false">SUM(E25/D25)</f>
        <v>0.650300691140831</v>
      </c>
      <c r="G25" s="31" t="str">
        <f aca="false">IF(F25&gt;69%, "GOOD", "POOR")</f>
        <v>POOR</v>
      </c>
      <c r="H25" s="32" t="n">
        <v>5.7</v>
      </c>
      <c r="I25" s="32" t="n">
        <v>345</v>
      </c>
      <c r="J25" s="32" t="str">
        <f aca="false" t="array" ref="J25:J25">_xlfn.IFS(I25&gt;299,"High HP",I25&gt;99,"Medium HP",I25&lt;100,"Low HP")</f>
        <v>High HP</v>
      </c>
      <c r="K25" s="32" t="s">
        <v>42</v>
      </c>
      <c r="L25" s="32" t="n">
        <v>22</v>
      </c>
      <c r="M25" s="32" t="n">
        <v>141.14115</v>
      </c>
      <c r="N25" s="32" t="n">
        <v>104.5</v>
      </c>
      <c r="O25" s="32" t="n">
        <v>73.6</v>
      </c>
      <c r="P25" s="32" t="n">
        <v>179.7</v>
      </c>
      <c r="Q25" s="32" t="n">
        <v>3.21</v>
      </c>
      <c r="R25" s="32" t="n">
        <v>19.1</v>
      </c>
      <c r="S25" s="33" t="n">
        <v>41041</v>
      </c>
    </row>
    <row r="26" customFormat="false" ht="16.15" hidden="false" customHeight="false" outlineLevel="0" collapsed="false">
      <c r="A26" s="27" t="s">
        <v>65</v>
      </c>
      <c r="B26" s="28" t="s">
        <v>72</v>
      </c>
      <c r="C26" s="29" t="n">
        <v>32299</v>
      </c>
      <c r="D26" s="30" t="n">
        <v>13960</v>
      </c>
      <c r="E26" s="30" t="n">
        <v>9125</v>
      </c>
      <c r="F26" s="31" t="n">
        <f aca="false">SUM(E26/D26)</f>
        <v>0.65365329512894</v>
      </c>
      <c r="G26" s="31" t="str">
        <f aca="false">IF(F26&gt;69%, "GOOD", "POOR")</f>
        <v>POOR</v>
      </c>
      <c r="H26" s="32" t="n">
        <v>1.8</v>
      </c>
      <c r="I26" s="32" t="n">
        <v>120</v>
      </c>
      <c r="J26" s="32" t="str">
        <f aca="false" t="array" ref="J26:J26">_xlfn.IFS(I26&gt;299,"High HP",I26&gt;99,"Medium HP",I26&lt;100,"Low HP")</f>
        <v>Medium HP</v>
      </c>
      <c r="K26" s="32" t="s">
        <v>42</v>
      </c>
      <c r="L26" s="32" t="n">
        <v>33</v>
      </c>
      <c r="M26" s="32" t="n">
        <v>48.2976361</v>
      </c>
      <c r="N26" s="32" t="n">
        <v>97.1</v>
      </c>
      <c r="O26" s="32" t="n">
        <v>66.7</v>
      </c>
      <c r="P26" s="32" t="n">
        <v>174.3</v>
      </c>
      <c r="Q26" s="32" t="n">
        <v>2.398</v>
      </c>
      <c r="R26" s="32" t="n">
        <v>13.2</v>
      </c>
      <c r="S26" s="33" t="n">
        <v>40797</v>
      </c>
    </row>
    <row r="27" customFormat="false" ht="16.15" hidden="false" customHeight="false" outlineLevel="0" collapsed="false">
      <c r="A27" s="27" t="s">
        <v>65</v>
      </c>
      <c r="B27" s="28" t="s">
        <v>73</v>
      </c>
      <c r="C27" s="29" t="n">
        <v>21855</v>
      </c>
      <c r="D27" s="30" t="n">
        <v>9235</v>
      </c>
      <c r="E27" s="30" t="n">
        <v>5160</v>
      </c>
      <c r="F27" s="31" t="n">
        <f aca="false">SUM(E27/D27)</f>
        <v>0.558743909041689</v>
      </c>
      <c r="G27" s="31" t="str">
        <f aca="false">IF(F27&gt;69%, "GOOD", "POOR")</f>
        <v>POOR</v>
      </c>
      <c r="H27" s="32" t="n">
        <v>1</v>
      </c>
      <c r="I27" s="32" t="n">
        <v>55</v>
      </c>
      <c r="J27" s="32" t="str">
        <f aca="false" t="array" ref="J27:J27">_xlfn.IFS(I27&gt;299,"High HP",I27&gt;99,"Medium HP",I27&lt;100,"Low HP")</f>
        <v>Low HP</v>
      </c>
      <c r="K27" s="32" t="s">
        <v>42</v>
      </c>
      <c r="L27" s="32" t="n">
        <v>45</v>
      </c>
      <c r="M27" s="32" t="n">
        <v>23.27627233</v>
      </c>
      <c r="N27" s="32" t="n">
        <v>93.1</v>
      </c>
      <c r="O27" s="32" t="n">
        <v>62.6</v>
      </c>
      <c r="P27" s="32" t="n">
        <v>149.4</v>
      </c>
      <c r="Q27" s="32" t="n">
        <v>1.895</v>
      </c>
      <c r="R27" s="32" t="n">
        <v>10.3</v>
      </c>
      <c r="S27" s="33" t="n">
        <v>41012</v>
      </c>
    </row>
    <row r="28" customFormat="false" ht="16.15" hidden="false" customHeight="false" outlineLevel="0" collapsed="false">
      <c r="A28" s="27" t="s">
        <v>65</v>
      </c>
      <c r="B28" s="28" t="s">
        <v>74</v>
      </c>
      <c r="C28" s="29" t="n">
        <v>107995</v>
      </c>
      <c r="D28" s="30" t="n">
        <v>18890</v>
      </c>
      <c r="E28" s="30" t="n">
        <v>11550</v>
      </c>
      <c r="F28" s="31" t="n">
        <f aca="false">SUM(E28/D28)</f>
        <v>0.611434621492853</v>
      </c>
      <c r="G28" s="31" t="str">
        <f aca="false">IF(F28&gt;69%, "GOOD", "POOR")</f>
        <v>POOR</v>
      </c>
      <c r="H28" s="32" t="n">
        <v>3.4</v>
      </c>
      <c r="I28" s="32" t="n">
        <v>180</v>
      </c>
      <c r="J28" s="32" t="str">
        <f aca="false" t="array" ref="J28:J28">_xlfn.IFS(I28&gt;299,"High HP",I28&gt;99,"Medium HP",I28&lt;100,"Low HP")</f>
        <v>Medium HP</v>
      </c>
      <c r="K28" s="32" t="s">
        <v>42</v>
      </c>
      <c r="L28" s="32" t="n">
        <v>27</v>
      </c>
      <c r="M28" s="32" t="n">
        <v>71.83803944</v>
      </c>
      <c r="N28" s="32" t="n">
        <v>110.5</v>
      </c>
      <c r="O28" s="32" t="n">
        <v>73</v>
      </c>
      <c r="P28" s="32" t="n">
        <v>200</v>
      </c>
      <c r="Q28" s="32" t="n">
        <v>3.389</v>
      </c>
      <c r="R28" s="32" t="n">
        <v>17</v>
      </c>
      <c r="S28" s="33" t="n">
        <v>40712</v>
      </c>
    </row>
    <row r="29" customFormat="false" ht="16.15" hidden="false" customHeight="false" outlineLevel="0" collapsed="false">
      <c r="A29" s="27" t="s">
        <v>75</v>
      </c>
      <c r="B29" s="28" t="s">
        <v>76</v>
      </c>
      <c r="C29" s="29" t="n">
        <v>7854</v>
      </c>
      <c r="D29" s="30" t="n">
        <v>19840</v>
      </c>
      <c r="E29" s="30" t="n">
        <v>12360</v>
      </c>
      <c r="F29" s="31" t="n">
        <f aca="false">SUM(E29/D29)</f>
        <v>0.622983870967742</v>
      </c>
      <c r="G29" s="31" t="str">
        <f aca="false">IF(F29&gt;69%, "GOOD", "POOR")</f>
        <v>POOR</v>
      </c>
      <c r="H29" s="32" t="n">
        <v>2.5</v>
      </c>
      <c r="I29" s="32" t="n">
        <v>163</v>
      </c>
      <c r="J29" s="32" t="str">
        <f aca="false" t="array" ref="J29:J29">_xlfn.IFS(I29&gt;299,"High HP",I29&gt;99,"Medium HP",I29&lt;100,"Low HP")</f>
        <v>Medium HP</v>
      </c>
      <c r="K29" s="32" t="s">
        <v>42</v>
      </c>
      <c r="L29" s="32" t="n">
        <v>24</v>
      </c>
      <c r="M29" s="32" t="n">
        <v>65.95718396</v>
      </c>
      <c r="N29" s="32" t="n">
        <v>103.7</v>
      </c>
      <c r="O29" s="32" t="n">
        <v>69.7</v>
      </c>
      <c r="P29" s="32" t="n">
        <v>190.9</v>
      </c>
      <c r="Q29" s="32" t="n">
        <v>2.967</v>
      </c>
      <c r="R29" s="32" t="n">
        <v>15.9</v>
      </c>
      <c r="S29" s="33" t="n">
        <v>40924</v>
      </c>
    </row>
    <row r="30" customFormat="false" ht="16.15" hidden="false" customHeight="false" outlineLevel="0" collapsed="false">
      <c r="A30" s="27" t="s">
        <v>75</v>
      </c>
      <c r="B30" s="28" t="s">
        <v>77</v>
      </c>
      <c r="C30" s="29" t="n">
        <v>32775</v>
      </c>
      <c r="D30" s="30" t="n">
        <v>24495</v>
      </c>
      <c r="E30" s="30" t="n">
        <v>14180</v>
      </c>
      <c r="F30" s="31" t="n">
        <f aca="false">SUM(E30/D30)</f>
        <v>0.578893651765666</v>
      </c>
      <c r="G30" s="31" t="str">
        <f aca="false">IF(F30&gt;69%, "GOOD", "POOR")</f>
        <v>POOR</v>
      </c>
      <c r="H30" s="32" t="n">
        <v>2.5</v>
      </c>
      <c r="I30" s="32" t="n">
        <v>168</v>
      </c>
      <c r="J30" s="32" t="str">
        <f aca="false" t="array" ref="J30:J30">_xlfn.IFS(I30&gt;299,"High HP",I30&gt;99,"Medium HP",I30&lt;100,"Low HP")</f>
        <v>Medium HP</v>
      </c>
      <c r="K30" s="32" t="s">
        <v>42</v>
      </c>
      <c r="L30" s="32" t="n">
        <v>24</v>
      </c>
      <c r="M30" s="32" t="n">
        <v>69.52135505</v>
      </c>
      <c r="N30" s="32" t="n">
        <v>106</v>
      </c>
      <c r="O30" s="32" t="n">
        <v>69.2</v>
      </c>
      <c r="P30" s="32" t="n">
        <v>193</v>
      </c>
      <c r="Q30" s="32" t="n">
        <v>3.332</v>
      </c>
      <c r="R30" s="32" t="n">
        <v>16</v>
      </c>
      <c r="S30" s="33" t="n">
        <v>40864</v>
      </c>
    </row>
    <row r="31" customFormat="false" ht="16.15" hidden="false" customHeight="false" outlineLevel="0" collapsed="false">
      <c r="A31" s="27" t="s">
        <v>75</v>
      </c>
      <c r="B31" s="28" t="s">
        <v>78</v>
      </c>
      <c r="C31" s="29" t="n">
        <v>31148</v>
      </c>
      <c r="D31" s="30" t="n">
        <v>22245</v>
      </c>
      <c r="E31" s="30" t="n">
        <v>13725</v>
      </c>
      <c r="F31" s="31" t="n">
        <f aca="false">SUM(E31/D31)</f>
        <v>0.616992582602832</v>
      </c>
      <c r="G31" s="31" t="str">
        <f aca="false">IF(F31&gt;69%, "GOOD", "POOR")</f>
        <v>POOR</v>
      </c>
      <c r="H31" s="32" t="n">
        <v>2.7</v>
      </c>
      <c r="I31" s="32" t="n">
        <v>200</v>
      </c>
      <c r="J31" s="32" t="str">
        <f aca="false" t="array" ref="J31:J31">_xlfn.IFS(I31&gt;299,"High HP",I31&gt;99,"Medium HP",I31&lt;100,"Low HP")</f>
        <v>Medium HP</v>
      </c>
      <c r="K31" s="32" t="s">
        <v>42</v>
      </c>
      <c r="L31" s="32" t="n">
        <v>26</v>
      </c>
      <c r="M31" s="32" t="n">
        <v>80.02378204</v>
      </c>
      <c r="N31" s="32" t="n">
        <v>113</v>
      </c>
      <c r="O31" s="32" t="n">
        <v>74.4</v>
      </c>
      <c r="P31" s="32" t="n">
        <v>209.1</v>
      </c>
      <c r="Q31" s="32" t="n">
        <v>3.452</v>
      </c>
      <c r="R31" s="32" t="n">
        <v>17</v>
      </c>
      <c r="S31" s="33" t="n">
        <v>41066</v>
      </c>
    </row>
    <row r="32" customFormat="false" ht="16.15" hidden="false" customHeight="false" outlineLevel="0" collapsed="false">
      <c r="A32" s="27" t="s">
        <v>75</v>
      </c>
      <c r="B32" s="28" t="s">
        <v>79</v>
      </c>
      <c r="C32" s="29" t="n">
        <v>32306</v>
      </c>
      <c r="D32" s="30" t="n">
        <v>16480</v>
      </c>
      <c r="E32" s="30" t="n">
        <v>12640</v>
      </c>
      <c r="F32" s="31" t="n">
        <f aca="false">SUM(E32/D32)</f>
        <v>0.766990291262136</v>
      </c>
      <c r="G32" s="31" t="str">
        <f aca="false">IF(F32&gt;69%, "GOOD", "POOR")</f>
        <v>GOOD</v>
      </c>
      <c r="H32" s="32" t="n">
        <v>2</v>
      </c>
      <c r="I32" s="32" t="n">
        <v>132</v>
      </c>
      <c r="J32" s="32" t="str">
        <f aca="false" t="array" ref="J32:J32">_xlfn.IFS(I32&gt;299,"High HP",I32&gt;99,"Medium HP",I32&lt;100,"Low HP")</f>
        <v>Medium HP</v>
      </c>
      <c r="K32" s="32" t="s">
        <v>42</v>
      </c>
      <c r="L32" s="32" t="n">
        <v>27</v>
      </c>
      <c r="M32" s="32" t="n">
        <v>53.56619987</v>
      </c>
      <c r="N32" s="32" t="n">
        <v>108</v>
      </c>
      <c r="O32" s="32" t="n">
        <v>71</v>
      </c>
      <c r="P32" s="32" t="n">
        <v>186</v>
      </c>
      <c r="Q32" s="32" t="n">
        <v>2.911</v>
      </c>
      <c r="R32" s="32" t="n">
        <v>16</v>
      </c>
      <c r="S32" s="33" t="n">
        <v>40822</v>
      </c>
    </row>
    <row r="33" customFormat="false" ht="16.15" hidden="false" customHeight="false" outlineLevel="0" collapsed="false">
      <c r="A33" s="27" t="s">
        <v>75</v>
      </c>
      <c r="B33" s="28" t="s">
        <v>80</v>
      </c>
      <c r="C33" s="29" t="n">
        <v>13462</v>
      </c>
      <c r="D33" s="30" t="n">
        <v>28340</v>
      </c>
      <c r="E33" s="30" t="n">
        <v>17325</v>
      </c>
      <c r="F33" s="31" t="n">
        <f aca="false">SUM(E33/D33)</f>
        <v>0.611326746647848</v>
      </c>
      <c r="G33" s="31" t="str">
        <f aca="false">IF(F33&gt;69%, "GOOD", "POOR")</f>
        <v>POOR</v>
      </c>
      <c r="H33" s="32" t="n">
        <v>3.5</v>
      </c>
      <c r="I33" s="32" t="n">
        <v>253</v>
      </c>
      <c r="J33" s="32" t="str">
        <f aca="false" t="array" ref="J33:J33">_xlfn.IFS(I33&gt;299,"High HP",I33&gt;99,"Medium HP",I33&lt;100,"Low HP")</f>
        <v>Medium HP</v>
      </c>
      <c r="K33" s="32" t="s">
        <v>42</v>
      </c>
      <c r="L33" s="32" t="n">
        <v>23</v>
      </c>
      <c r="M33" s="32" t="n">
        <v>101.3292807</v>
      </c>
      <c r="N33" s="32" t="n">
        <v>113</v>
      </c>
      <c r="O33" s="32" t="n">
        <v>74.4</v>
      </c>
      <c r="P33" s="32" t="n">
        <v>207.7</v>
      </c>
      <c r="Q33" s="32" t="n">
        <v>3.564</v>
      </c>
      <c r="R33" s="32" t="n">
        <v>17</v>
      </c>
      <c r="S33" s="33" t="n">
        <v>41037</v>
      </c>
    </row>
    <row r="34" customFormat="false" ht="16.15" hidden="false" customHeight="false" outlineLevel="0" collapsed="false">
      <c r="A34" s="27" t="s">
        <v>75</v>
      </c>
      <c r="B34" s="28" t="s">
        <v>81</v>
      </c>
      <c r="C34" s="29" t="n">
        <v>30696</v>
      </c>
      <c r="D34" s="30" t="n">
        <v>29185</v>
      </c>
      <c r="E34" s="30" t="n">
        <v>18425</v>
      </c>
      <c r="F34" s="31" t="n">
        <f aca="false">SUM(E34/D34)</f>
        <v>0.631317457598081</v>
      </c>
      <c r="G34" s="31" t="str">
        <f aca="false">IF(F34&gt;69%, "GOOD", "POOR")</f>
        <v>POOR</v>
      </c>
      <c r="H34" s="32" t="n">
        <v>3.5</v>
      </c>
      <c r="I34" s="32" t="n">
        <v>253</v>
      </c>
      <c r="J34" s="32" t="str">
        <f aca="false" t="array" ref="J34:J34">_xlfn.IFS(I34&gt;299,"High HP",I34&gt;99,"Medium HP",I34&lt;100,"Low HP")</f>
        <v>Medium HP</v>
      </c>
      <c r="K34" s="32" t="s">
        <v>42</v>
      </c>
      <c r="L34" s="32" t="n">
        <v>23</v>
      </c>
      <c r="M34" s="32" t="n">
        <v>101.6552441</v>
      </c>
      <c r="N34" s="32" t="n">
        <v>113</v>
      </c>
      <c r="O34" s="32" t="n">
        <v>74.4</v>
      </c>
      <c r="P34" s="32" t="n">
        <v>197.8</v>
      </c>
      <c r="Q34" s="32" t="n">
        <v>3.567</v>
      </c>
      <c r="R34" s="32" t="n">
        <v>17</v>
      </c>
      <c r="S34" s="33" t="n">
        <v>40949</v>
      </c>
    </row>
    <row r="35" customFormat="false" ht="16.15" hidden="false" customHeight="false" outlineLevel="0" collapsed="false">
      <c r="A35" s="27" t="s">
        <v>82</v>
      </c>
      <c r="B35" s="28" t="s">
        <v>83</v>
      </c>
      <c r="C35" s="29" t="n">
        <v>76034</v>
      </c>
      <c r="D35" s="30" t="n">
        <v>12640</v>
      </c>
      <c r="E35" s="30" t="n">
        <v>7750</v>
      </c>
      <c r="F35" s="31" t="n">
        <f aca="false">SUM(E35/D35)</f>
        <v>0.613132911392405</v>
      </c>
      <c r="G35" s="31" t="str">
        <f aca="false">IF(F35&gt;69%, "GOOD", "POOR")</f>
        <v>POOR</v>
      </c>
      <c r="H35" s="32" t="n">
        <v>2</v>
      </c>
      <c r="I35" s="32" t="n">
        <v>132</v>
      </c>
      <c r="J35" s="32" t="str">
        <f aca="false" t="array" ref="J35:J35">_xlfn.IFS(I35&gt;299,"High HP",I35&gt;99,"Medium HP",I35&lt;100,"Low HP")</f>
        <v>Medium HP</v>
      </c>
      <c r="K35" s="32" t="s">
        <v>42</v>
      </c>
      <c r="L35" s="32" t="n">
        <v>29</v>
      </c>
      <c r="M35" s="32" t="n">
        <v>52.08489875</v>
      </c>
      <c r="N35" s="32" t="n">
        <v>105</v>
      </c>
      <c r="O35" s="32" t="n">
        <v>74.4</v>
      </c>
      <c r="P35" s="32" t="n">
        <v>174.4</v>
      </c>
      <c r="Q35" s="32" t="n">
        <v>2.567</v>
      </c>
      <c r="R35" s="32" t="n">
        <v>12.5</v>
      </c>
      <c r="S35" s="33" t="n">
        <v>40889</v>
      </c>
    </row>
    <row r="36" customFormat="false" ht="16.15" hidden="false" customHeight="false" outlineLevel="0" collapsed="false">
      <c r="A36" s="27" t="s">
        <v>82</v>
      </c>
      <c r="B36" s="28" t="s">
        <v>84</v>
      </c>
      <c r="C36" s="29" t="n">
        <v>4734</v>
      </c>
      <c r="D36" s="30" t="n">
        <v>19045</v>
      </c>
      <c r="E36" s="30" t="n">
        <v>12545</v>
      </c>
      <c r="F36" s="31" t="n">
        <f aca="false">SUM(E36/D36)</f>
        <v>0.658703071672355</v>
      </c>
      <c r="G36" s="31" t="str">
        <f aca="false">IF(F36&gt;69%, "GOOD", "POOR")</f>
        <v>POOR</v>
      </c>
      <c r="H36" s="32" t="n">
        <v>2.5</v>
      </c>
      <c r="I36" s="32" t="n">
        <v>163</v>
      </c>
      <c r="J36" s="32" t="str">
        <f aca="false" t="array" ref="J36:J36">_xlfn.IFS(I36&gt;299,"High HP",I36&gt;99,"Medium HP",I36&lt;100,"Low HP")</f>
        <v>Medium HP</v>
      </c>
      <c r="K36" s="32" t="s">
        <v>42</v>
      </c>
      <c r="L36" s="32" t="n">
        <v>24</v>
      </c>
      <c r="M36" s="32" t="n">
        <v>65.65050834</v>
      </c>
      <c r="N36" s="32" t="n">
        <v>103.7</v>
      </c>
      <c r="O36" s="32" t="n">
        <v>69.1</v>
      </c>
      <c r="P36" s="32" t="n">
        <v>190.2</v>
      </c>
      <c r="Q36" s="32" t="n">
        <v>2.879</v>
      </c>
      <c r="R36" s="32" t="n">
        <v>15.9</v>
      </c>
      <c r="S36" s="33" t="n">
        <v>41091</v>
      </c>
    </row>
    <row r="37" customFormat="false" ht="16.15" hidden="false" customHeight="false" outlineLevel="0" collapsed="false">
      <c r="A37" s="27" t="s">
        <v>82</v>
      </c>
      <c r="B37" s="28" t="s">
        <v>85</v>
      </c>
      <c r="C37" s="29" t="n">
        <v>71186</v>
      </c>
      <c r="D37" s="30" t="n">
        <v>20230</v>
      </c>
      <c r="E37" s="30" t="n">
        <v>10185</v>
      </c>
      <c r="F37" s="31" t="n">
        <f aca="false">SUM(E37/D37)</f>
        <v>0.503460207612457</v>
      </c>
      <c r="G37" s="31" t="str">
        <f aca="false">IF(F37&gt;69%, "GOOD", "POOR")</f>
        <v>POOR</v>
      </c>
      <c r="H37" s="32" t="n">
        <v>2.5</v>
      </c>
      <c r="I37" s="32" t="n">
        <v>168</v>
      </c>
      <c r="J37" s="32" t="str">
        <f aca="false" t="array" ref="J37:J37">_xlfn.IFS(I37&gt;299,"High HP",I37&gt;99,"Medium HP",I37&lt;100,"Low HP")</f>
        <v>Medium HP</v>
      </c>
      <c r="K37" s="32" t="s">
        <v>42</v>
      </c>
      <c r="L37" s="32" t="n">
        <v>24</v>
      </c>
      <c r="M37" s="32" t="n">
        <v>67.87610784</v>
      </c>
      <c r="N37" s="32" t="n">
        <v>108</v>
      </c>
      <c r="O37" s="32" t="n">
        <v>71</v>
      </c>
      <c r="P37" s="32" t="n">
        <v>186</v>
      </c>
      <c r="Q37" s="32" t="n">
        <v>3.058</v>
      </c>
      <c r="R37" s="32" t="n">
        <v>16</v>
      </c>
      <c r="S37" s="33" t="n">
        <v>40847</v>
      </c>
    </row>
    <row r="38" customFormat="false" ht="16.15" hidden="false" customHeight="false" outlineLevel="0" collapsed="false">
      <c r="A38" s="27" t="s">
        <v>82</v>
      </c>
      <c r="B38" s="28" t="s">
        <v>86</v>
      </c>
      <c r="C38" s="29" t="n">
        <v>88028</v>
      </c>
      <c r="D38" s="30" t="n">
        <v>22505</v>
      </c>
      <c r="E38" s="30" t="n">
        <v>12275</v>
      </c>
      <c r="F38" s="31" t="n">
        <f aca="false">SUM(E38/D38)</f>
        <v>0.545434347922684</v>
      </c>
      <c r="G38" s="31" t="str">
        <f aca="false">IF(F38&gt;69%, "GOOD", "POOR")</f>
        <v>POOR</v>
      </c>
      <c r="H38" s="32" t="n">
        <v>2.7</v>
      </c>
      <c r="I38" s="32" t="n">
        <v>202</v>
      </c>
      <c r="J38" s="32" t="str">
        <f aca="false" t="array" ref="J38:J38">_xlfn.IFS(I38&gt;299,"High HP",I38&gt;99,"Medium HP",I38&lt;100,"Low HP")</f>
        <v>Medium HP</v>
      </c>
      <c r="K38" s="32" t="s">
        <v>42</v>
      </c>
      <c r="L38" s="32" t="n">
        <v>22</v>
      </c>
      <c r="M38" s="32" t="n">
        <v>80.83147017</v>
      </c>
      <c r="N38" s="32" t="n">
        <v>113</v>
      </c>
      <c r="O38" s="32" t="n">
        <v>74.7</v>
      </c>
      <c r="P38" s="32" t="n">
        <v>203.7</v>
      </c>
      <c r="Q38" s="32" t="n">
        <v>3.489</v>
      </c>
      <c r="R38" s="32" t="n">
        <v>17</v>
      </c>
      <c r="S38" s="33" t="n">
        <v>41062</v>
      </c>
    </row>
    <row r="39" customFormat="false" ht="16.15" hidden="false" customHeight="false" outlineLevel="0" collapsed="false">
      <c r="A39" s="27" t="s">
        <v>82</v>
      </c>
      <c r="B39" s="28" t="s">
        <v>87</v>
      </c>
      <c r="C39" s="29" t="n">
        <v>916</v>
      </c>
      <c r="D39" s="30" t="n">
        <v>69725</v>
      </c>
      <c r="E39" s="30" t="n">
        <v>58470</v>
      </c>
      <c r="F39" s="31" t="n">
        <f aca="false">SUM(E39/D39)</f>
        <v>0.838580136249552</v>
      </c>
      <c r="G39" s="31" t="str">
        <f aca="false">IF(F39&gt;69%, "GOOD", "POOR")</f>
        <v>GOOD</v>
      </c>
      <c r="H39" s="32" t="n">
        <v>8</v>
      </c>
      <c r="I39" s="32" t="n">
        <v>450</v>
      </c>
      <c r="J39" s="32" t="str">
        <f aca="false" t="array" ref="J39:J39">_xlfn.IFS(I39&gt;299,"High HP",I39&gt;99,"Medium HP",I39&lt;100,"Low HP")</f>
        <v>High HP</v>
      </c>
      <c r="K39" s="32" t="s">
        <v>42</v>
      </c>
      <c r="L39" s="32" t="n">
        <v>16</v>
      </c>
      <c r="M39" s="32" t="n">
        <v>188.144323</v>
      </c>
      <c r="N39" s="32" t="n">
        <v>96.2</v>
      </c>
      <c r="O39" s="32" t="n">
        <v>75.7</v>
      </c>
      <c r="P39" s="32" t="n">
        <v>176.7</v>
      </c>
      <c r="Q39" s="32" t="n">
        <v>3.375</v>
      </c>
      <c r="R39" s="32" t="n">
        <v>19</v>
      </c>
      <c r="S39" s="33" t="n">
        <v>40762</v>
      </c>
    </row>
    <row r="40" customFormat="false" ht="16.15" hidden="false" customHeight="false" outlineLevel="0" collapsed="false">
      <c r="A40" s="27" t="s">
        <v>82</v>
      </c>
      <c r="B40" s="28" t="s">
        <v>88</v>
      </c>
      <c r="C40" s="29" t="n">
        <v>227061</v>
      </c>
      <c r="D40" s="30" t="n">
        <v>19460</v>
      </c>
      <c r="E40" s="30" t="n">
        <v>15060</v>
      </c>
      <c r="F40" s="31" t="n">
        <f aca="false">SUM(E40/D40)</f>
        <v>0.773895169578623</v>
      </c>
      <c r="G40" s="31" t="str">
        <f aca="false">IF(F40&gt;69%, "GOOD", "POOR")</f>
        <v>GOOD</v>
      </c>
      <c r="H40" s="32" t="n">
        <v>5.2</v>
      </c>
      <c r="I40" s="32" t="n">
        <v>230</v>
      </c>
      <c r="J40" s="32" t="str">
        <f aca="false" t="array" ref="J40:J40">_xlfn.IFS(I40&gt;299,"High HP",I40&gt;99,"Medium HP",I40&lt;100,"Low HP")</f>
        <v>Medium HP</v>
      </c>
      <c r="K40" s="32" t="s">
        <v>64</v>
      </c>
      <c r="L40" s="32" t="n">
        <v>17</v>
      </c>
      <c r="M40" s="32" t="n">
        <v>90.21170005</v>
      </c>
      <c r="N40" s="32" t="n">
        <v>138.7</v>
      </c>
      <c r="O40" s="32" t="n">
        <v>79.3</v>
      </c>
      <c r="P40" s="32" t="n">
        <v>224.2</v>
      </c>
      <c r="Q40" s="32" t="n">
        <v>4.47</v>
      </c>
      <c r="R40" s="32" t="n">
        <v>26</v>
      </c>
      <c r="S40" s="33" t="n">
        <v>40974</v>
      </c>
    </row>
    <row r="41" customFormat="false" ht="16.15" hidden="false" customHeight="false" outlineLevel="0" collapsed="false">
      <c r="A41" s="27" t="s">
        <v>82</v>
      </c>
      <c r="B41" s="28" t="s">
        <v>89</v>
      </c>
      <c r="C41" s="29" t="n">
        <v>16767</v>
      </c>
      <c r="D41" s="30" t="n">
        <v>21315</v>
      </c>
      <c r="E41" s="30" t="n">
        <v>15510</v>
      </c>
      <c r="F41" s="31" t="n">
        <f aca="false">SUM(E41/D41)</f>
        <v>0.727656579873329</v>
      </c>
      <c r="G41" s="31" t="str">
        <f aca="false">IF(F41&gt;69%, "GOOD", "POOR")</f>
        <v>GOOD</v>
      </c>
      <c r="H41" s="32" t="n">
        <v>3.9</v>
      </c>
      <c r="I41" s="32" t="n">
        <v>175</v>
      </c>
      <c r="J41" s="32" t="str">
        <f aca="false" t="array" ref="J41:J41">_xlfn.IFS(I41&gt;299,"High HP",I41&gt;99,"Medium HP",I41&lt;100,"Low HP")</f>
        <v>Medium HP</v>
      </c>
      <c r="K41" s="32" t="s">
        <v>64</v>
      </c>
      <c r="L41" s="32" t="n">
        <v>15</v>
      </c>
      <c r="M41" s="32" t="n">
        <v>71.13529161</v>
      </c>
      <c r="N41" s="32" t="n">
        <v>109.6</v>
      </c>
      <c r="O41" s="32" t="n">
        <v>78.8</v>
      </c>
      <c r="P41" s="32" t="n">
        <v>192.6</v>
      </c>
      <c r="Q41" s="32" t="n">
        <v>4.245</v>
      </c>
      <c r="R41" s="32" t="n">
        <v>32</v>
      </c>
      <c r="S41" s="33" t="n">
        <v>40914</v>
      </c>
    </row>
    <row r="42" customFormat="false" ht="16.15" hidden="false" customHeight="false" outlineLevel="0" collapsed="false">
      <c r="A42" s="27" t="s">
        <v>82</v>
      </c>
      <c r="B42" s="28" t="s">
        <v>90</v>
      </c>
      <c r="C42" s="29" t="n">
        <v>31038</v>
      </c>
      <c r="D42" s="30" t="n">
        <v>18575</v>
      </c>
      <c r="E42" s="30" t="n">
        <v>13425</v>
      </c>
      <c r="F42" s="31" t="n">
        <f aca="false">SUM(E42/D42)</f>
        <v>0.722745625841184</v>
      </c>
      <c r="G42" s="31" t="str">
        <f aca="false">IF(F42&gt;69%, "GOOD", "POOR")</f>
        <v>GOOD</v>
      </c>
      <c r="H42" s="32" t="n">
        <v>3.9</v>
      </c>
      <c r="I42" s="32" t="n">
        <v>175</v>
      </c>
      <c r="J42" s="32" t="str">
        <f aca="false" t="array" ref="J42:J42">_xlfn.IFS(I42&gt;299,"High HP",I42&gt;99,"Medium HP",I42&lt;100,"Low HP")</f>
        <v>Medium HP</v>
      </c>
      <c r="K42" s="32" t="s">
        <v>64</v>
      </c>
      <c r="L42" s="32" t="n">
        <v>16</v>
      </c>
      <c r="M42" s="32" t="n">
        <v>70.07832154</v>
      </c>
      <c r="N42" s="32" t="n">
        <v>127.2</v>
      </c>
      <c r="O42" s="32" t="n">
        <v>78.8</v>
      </c>
      <c r="P42" s="32" t="n">
        <v>208.5</v>
      </c>
      <c r="Q42" s="32" t="n">
        <v>4.298</v>
      </c>
      <c r="R42" s="32" t="n">
        <v>32</v>
      </c>
      <c r="S42" s="33" t="n">
        <v>41116</v>
      </c>
    </row>
    <row r="43" customFormat="false" ht="16.15" hidden="false" customHeight="false" outlineLevel="0" collapsed="false">
      <c r="A43" s="27" t="s">
        <v>82</v>
      </c>
      <c r="B43" s="28" t="s">
        <v>91</v>
      </c>
      <c r="C43" s="29" t="n">
        <v>111313</v>
      </c>
      <c r="D43" s="30" t="n">
        <v>16980</v>
      </c>
      <c r="E43" s="30" t="n">
        <v>11260</v>
      </c>
      <c r="F43" s="31" t="n">
        <f aca="false">SUM(E43/D43)</f>
        <v>0.663133097762073</v>
      </c>
      <c r="G43" s="31" t="str">
        <f aca="false">IF(F43&gt;69%, "GOOD", "POOR")</f>
        <v>POOR</v>
      </c>
      <c r="H43" s="32" t="n">
        <v>2.5</v>
      </c>
      <c r="I43" s="32" t="n">
        <v>120</v>
      </c>
      <c r="J43" s="32" t="str">
        <f aca="false" t="array" ref="J43:J43">_xlfn.IFS(I43&gt;299,"High HP",I43&gt;99,"Medium HP",I43&lt;100,"Low HP")</f>
        <v>Medium HP</v>
      </c>
      <c r="K43" s="32" t="s">
        <v>64</v>
      </c>
      <c r="L43" s="32" t="n">
        <v>19</v>
      </c>
      <c r="M43" s="32" t="n">
        <v>49.64500177</v>
      </c>
      <c r="N43" s="32" t="n">
        <v>131</v>
      </c>
      <c r="O43" s="32" t="n">
        <v>71.5</v>
      </c>
      <c r="P43" s="32" t="n">
        <v>215</v>
      </c>
      <c r="Q43" s="32" t="n">
        <v>3.557</v>
      </c>
      <c r="R43" s="32" t="n">
        <v>22</v>
      </c>
      <c r="S43" s="33" t="n">
        <v>40872</v>
      </c>
    </row>
    <row r="44" customFormat="false" ht="16.15" hidden="false" customHeight="false" outlineLevel="0" collapsed="false">
      <c r="A44" s="27" t="s">
        <v>82</v>
      </c>
      <c r="B44" s="28" t="s">
        <v>92</v>
      </c>
      <c r="C44" s="29" t="n">
        <v>101323</v>
      </c>
      <c r="D44" s="30" t="n">
        <v>26310</v>
      </c>
      <c r="E44" s="30" t="n">
        <v>21436</v>
      </c>
      <c r="F44" s="31" t="n">
        <f aca="false">SUM(E44/D44)</f>
        <v>0.814747244393767</v>
      </c>
      <c r="G44" s="31" t="str">
        <f aca="false">IF(F44&gt;69%, "GOOD", "POOR")</f>
        <v>GOOD</v>
      </c>
      <c r="H44" s="32" t="n">
        <v>5.2</v>
      </c>
      <c r="I44" s="32" t="n">
        <v>230</v>
      </c>
      <c r="J44" s="32" t="str">
        <f aca="false" t="array" ref="J44:J44">_xlfn.IFS(I44&gt;299,"High HP",I44&gt;99,"Medium HP",I44&lt;100,"Low HP")</f>
        <v>Medium HP</v>
      </c>
      <c r="K44" s="32" t="s">
        <v>64</v>
      </c>
      <c r="L44" s="32" t="n">
        <v>17</v>
      </c>
      <c r="M44" s="32" t="n">
        <v>92.85412522</v>
      </c>
      <c r="N44" s="32" t="n">
        <v>115.7</v>
      </c>
      <c r="O44" s="32" t="n">
        <v>71.7</v>
      </c>
      <c r="P44" s="32" t="n">
        <v>193.5</v>
      </c>
      <c r="Q44" s="32" t="n">
        <v>4.394</v>
      </c>
      <c r="R44" s="32" t="n">
        <v>25</v>
      </c>
      <c r="S44" s="33" t="n">
        <v>41087</v>
      </c>
    </row>
    <row r="45" customFormat="false" ht="16.15" hidden="false" customHeight="false" outlineLevel="0" collapsed="false">
      <c r="A45" s="27" t="s">
        <v>82</v>
      </c>
      <c r="B45" s="28" t="s">
        <v>93</v>
      </c>
      <c r="C45" s="29" t="n">
        <v>181749</v>
      </c>
      <c r="D45" s="30" t="n">
        <v>19565</v>
      </c>
      <c r="E45" s="30" t="n">
        <v>12025</v>
      </c>
      <c r="F45" s="31" t="n">
        <f aca="false">SUM(E45/D45)</f>
        <v>0.614617940199336</v>
      </c>
      <c r="G45" s="31" t="str">
        <f aca="false">IF(F45&gt;69%, "GOOD", "POOR")</f>
        <v>POOR</v>
      </c>
      <c r="H45" s="32" t="n">
        <v>2.4</v>
      </c>
      <c r="I45" s="32" t="n">
        <v>150</v>
      </c>
      <c r="J45" s="32" t="str">
        <f aca="false" t="array" ref="J45:J45">_xlfn.IFS(I45&gt;299,"High HP",I45&gt;99,"Medium HP",I45&lt;100,"Low HP")</f>
        <v>Medium HP</v>
      </c>
      <c r="K45" s="32" t="s">
        <v>64</v>
      </c>
      <c r="L45" s="32" t="n">
        <v>24</v>
      </c>
      <c r="M45" s="32" t="n">
        <v>61.22700031</v>
      </c>
      <c r="N45" s="32" t="n">
        <v>113.3</v>
      </c>
      <c r="O45" s="32" t="n">
        <v>76.8</v>
      </c>
      <c r="P45" s="32" t="n">
        <v>186.3</v>
      </c>
      <c r="Q45" s="32" t="n">
        <v>3.533</v>
      </c>
      <c r="R45" s="32" t="n">
        <v>20</v>
      </c>
      <c r="S45" s="33" t="n">
        <v>40787</v>
      </c>
    </row>
    <row r="46" customFormat="false" ht="16.15" hidden="false" customHeight="false" outlineLevel="0" collapsed="false">
      <c r="A46" s="27" t="s">
        <v>94</v>
      </c>
      <c r="B46" s="28" t="s">
        <v>95</v>
      </c>
      <c r="C46" s="29" t="n">
        <v>70227</v>
      </c>
      <c r="D46" s="30" t="n">
        <v>12070</v>
      </c>
      <c r="E46" s="30" t="n">
        <v>7425</v>
      </c>
      <c r="F46" s="31" t="n">
        <f aca="false">SUM(E46/D46)</f>
        <v>0.615161557580779</v>
      </c>
      <c r="G46" s="31" t="str">
        <f aca="false">IF(F46&gt;69%, "GOOD", "POOR")</f>
        <v>POOR</v>
      </c>
      <c r="H46" s="32" t="n">
        <v>2</v>
      </c>
      <c r="I46" s="32" t="n">
        <v>110</v>
      </c>
      <c r="J46" s="32" t="str">
        <f aca="false" t="array" ref="J46:J46">_xlfn.IFS(I46&gt;299,"High HP",I46&gt;99,"Medium HP",I46&lt;100,"Low HP")</f>
        <v>Medium HP</v>
      </c>
      <c r="K46" s="32" t="s">
        <v>42</v>
      </c>
      <c r="L46" s="32" t="n">
        <v>30</v>
      </c>
      <c r="M46" s="32" t="n">
        <v>44.08370946</v>
      </c>
      <c r="N46" s="32" t="n">
        <v>98.4</v>
      </c>
      <c r="O46" s="32" t="n">
        <v>67</v>
      </c>
      <c r="P46" s="32" t="n">
        <v>174.7</v>
      </c>
      <c r="Q46" s="32" t="n">
        <v>2.468</v>
      </c>
      <c r="R46" s="32" t="n">
        <v>12.7</v>
      </c>
      <c r="S46" s="33" t="n">
        <v>40999</v>
      </c>
    </row>
    <row r="47" customFormat="false" ht="16.15" hidden="false" customHeight="false" outlineLevel="0" collapsed="false">
      <c r="A47" s="27" t="s">
        <v>94</v>
      </c>
      <c r="B47" s="28" t="s">
        <v>96</v>
      </c>
      <c r="C47" s="29" t="n">
        <v>113369</v>
      </c>
      <c r="D47" s="30" t="n">
        <v>21560</v>
      </c>
      <c r="E47" s="30" t="n">
        <v>12760</v>
      </c>
      <c r="F47" s="31" t="n">
        <f aca="false">SUM(E47/D47)</f>
        <v>0.591836734693878</v>
      </c>
      <c r="G47" s="31" t="str">
        <f aca="false">IF(F47&gt;69%, "GOOD", "POOR")</f>
        <v>POOR</v>
      </c>
      <c r="H47" s="32" t="n">
        <v>3.8</v>
      </c>
      <c r="I47" s="32" t="n">
        <v>190</v>
      </c>
      <c r="J47" s="32" t="str">
        <f aca="false" t="array" ref="J47:J47">_xlfn.IFS(I47&gt;299,"High HP",I47&gt;99,"Medium HP",I47&lt;100,"Low HP")</f>
        <v>Medium HP</v>
      </c>
      <c r="K47" s="32" t="s">
        <v>42</v>
      </c>
      <c r="L47" s="32" t="n">
        <v>24</v>
      </c>
      <c r="M47" s="32" t="n">
        <v>76.50918456</v>
      </c>
      <c r="N47" s="32" t="n">
        <v>101.3</v>
      </c>
      <c r="O47" s="32" t="n">
        <v>73.1</v>
      </c>
      <c r="P47" s="32" t="n">
        <v>183.2</v>
      </c>
      <c r="Q47" s="32" t="n">
        <v>3.203</v>
      </c>
      <c r="R47" s="32" t="n">
        <v>15.7</v>
      </c>
      <c r="S47" s="33" t="n">
        <v>40939</v>
      </c>
    </row>
    <row r="48" customFormat="false" ht="16.15" hidden="false" customHeight="false" outlineLevel="0" collapsed="false">
      <c r="A48" s="27" t="s">
        <v>94</v>
      </c>
      <c r="B48" s="28" t="s">
        <v>97</v>
      </c>
      <c r="C48" s="29" t="n">
        <v>35068</v>
      </c>
      <c r="D48" s="30" t="n">
        <v>17035</v>
      </c>
      <c r="E48" s="30" t="n">
        <v>8835</v>
      </c>
      <c r="F48" s="31" t="n">
        <f aca="false">SUM(E48/D48)</f>
        <v>0.518638098033461</v>
      </c>
      <c r="G48" s="31" t="str">
        <f aca="false">IF(F48&gt;69%, "GOOD", "POOR")</f>
        <v>POOR</v>
      </c>
      <c r="H48" s="32" t="n">
        <v>2.5</v>
      </c>
      <c r="I48" s="32" t="n">
        <v>170</v>
      </c>
      <c r="J48" s="32" t="str">
        <f aca="false" t="array" ref="J48:J48">_xlfn.IFS(I48&gt;299,"High HP",I48&gt;99,"Medium HP",I48&lt;100,"Low HP")</f>
        <v>Medium HP</v>
      </c>
      <c r="K48" s="32" t="s">
        <v>42</v>
      </c>
      <c r="L48" s="32" t="n">
        <v>25</v>
      </c>
      <c r="M48" s="32" t="n">
        <v>67.35101072</v>
      </c>
      <c r="N48" s="32" t="n">
        <v>106.5</v>
      </c>
      <c r="O48" s="32" t="n">
        <v>69.1</v>
      </c>
      <c r="P48" s="32" t="n">
        <v>184.6</v>
      </c>
      <c r="Q48" s="32" t="n">
        <v>2.769</v>
      </c>
      <c r="R48" s="32" t="n">
        <v>15</v>
      </c>
      <c r="S48" s="33" t="n">
        <v>41141</v>
      </c>
    </row>
    <row r="49" customFormat="false" ht="16.15" hidden="false" customHeight="false" outlineLevel="0" collapsed="false">
      <c r="A49" s="27" t="s">
        <v>94</v>
      </c>
      <c r="B49" s="28" t="s">
        <v>98</v>
      </c>
      <c r="C49" s="29" t="n">
        <v>245815</v>
      </c>
      <c r="D49" s="30" t="n">
        <v>17885</v>
      </c>
      <c r="E49" s="30" t="n">
        <v>10055</v>
      </c>
      <c r="F49" s="31" t="n">
        <f aca="false">SUM(E49/D49)</f>
        <v>0.562202963377132</v>
      </c>
      <c r="G49" s="31" t="str">
        <f aca="false">IF(F49&gt;69%, "GOOD", "POOR")</f>
        <v>POOR</v>
      </c>
      <c r="H49" s="32" t="n">
        <v>3</v>
      </c>
      <c r="I49" s="32" t="n">
        <v>155</v>
      </c>
      <c r="J49" s="32" t="str">
        <f aca="false" t="array" ref="J49:J49">_xlfn.IFS(I49&gt;299,"High HP",I49&gt;99,"Medium HP",I49&lt;100,"Low HP")</f>
        <v>Medium HP</v>
      </c>
      <c r="K49" s="32" t="s">
        <v>42</v>
      </c>
      <c r="L49" s="32" t="n">
        <v>24</v>
      </c>
      <c r="M49" s="32" t="n">
        <v>62.5037395</v>
      </c>
      <c r="N49" s="32" t="n">
        <v>108.5</v>
      </c>
      <c r="O49" s="32" t="n">
        <v>73</v>
      </c>
      <c r="P49" s="32" t="n">
        <v>197.6</v>
      </c>
      <c r="Q49" s="32" t="n">
        <v>3.368</v>
      </c>
      <c r="R49" s="32" t="n">
        <v>16</v>
      </c>
      <c r="S49" s="33" t="n">
        <v>40897</v>
      </c>
    </row>
    <row r="50" customFormat="false" ht="16.15" hidden="false" customHeight="false" outlineLevel="0" collapsed="false">
      <c r="A50" s="27" t="s">
        <v>94</v>
      </c>
      <c r="B50" s="28" t="s">
        <v>99</v>
      </c>
      <c r="C50" s="29" t="n">
        <v>175670</v>
      </c>
      <c r="D50" s="30" t="n">
        <v>12315</v>
      </c>
      <c r="E50" s="30" t="n">
        <v>8670</v>
      </c>
      <c r="F50" s="31" t="n">
        <f aca="false">SUM(E50/D50)</f>
        <v>0.704019488428745</v>
      </c>
      <c r="G50" s="31" t="str">
        <f aca="false">IF(F50&gt;69%, "GOOD", "POOR")</f>
        <v>GOOD</v>
      </c>
      <c r="H50" s="32" t="n">
        <v>2</v>
      </c>
      <c r="I50" s="32" t="n">
        <v>107</v>
      </c>
      <c r="J50" s="32" t="str">
        <f aca="false" t="array" ref="J50:J50">_xlfn.IFS(I50&gt;299,"High HP",I50&gt;99,"Medium HP",I50&lt;100,"Low HP")</f>
        <v>Medium HP</v>
      </c>
      <c r="K50" s="32" t="s">
        <v>42</v>
      </c>
      <c r="L50" s="32" t="n">
        <v>30</v>
      </c>
      <c r="M50" s="32" t="n">
        <v>43.11713201</v>
      </c>
      <c r="N50" s="32" t="n">
        <v>103</v>
      </c>
      <c r="O50" s="32" t="n">
        <v>66.9</v>
      </c>
      <c r="P50" s="32" t="n">
        <v>174.8</v>
      </c>
      <c r="Q50" s="32" t="n">
        <v>2.564</v>
      </c>
      <c r="R50" s="32" t="n">
        <v>13.2</v>
      </c>
      <c r="S50" s="33" t="n">
        <v>41112</v>
      </c>
    </row>
    <row r="51" customFormat="false" ht="16.15" hidden="false" customHeight="false" outlineLevel="0" collapsed="false">
      <c r="A51" s="27" t="s">
        <v>94</v>
      </c>
      <c r="B51" s="28" t="s">
        <v>100</v>
      </c>
      <c r="C51" s="29" t="n">
        <v>63403</v>
      </c>
      <c r="D51" s="30" t="n">
        <v>22195</v>
      </c>
      <c r="E51" s="30" t="n">
        <v>14210</v>
      </c>
      <c r="F51" s="31" t="n">
        <f aca="false">SUM(E51/D51)</f>
        <v>0.640234287001577</v>
      </c>
      <c r="G51" s="31" t="str">
        <f aca="false">IF(F51&gt;69%, "GOOD", "POOR")</f>
        <v>POOR</v>
      </c>
      <c r="H51" s="32" t="n">
        <v>4.6</v>
      </c>
      <c r="I51" s="32" t="n">
        <v>200</v>
      </c>
      <c r="J51" s="32" t="str">
        <f aca="false" t="array" ref="J51:J51">_xlfn.IFS(I51&gt;299,"High HP",I51&gt;99,"Medium HP",I51&lt;100,"Low HP")</f>
        <v>Medium HP</v>
      </c>
      <c r="K51" s="32" t="s">
        <v>42</v>
      </c>
      <c r="L51" s="32" t="n">
        <v>21</v>
      </c>
      <c r="M51" s="32" t="n">
        <v>80.49953671</v>
      </c>
      <c r="N51" s="32" t="n">
        <v>114.7</v>
      </c>
      <c r="O51" s="32" t="n">
        <v>78.2</v>
      </c>
      <c r="P51" s="32" t="n">
        <v>212</v>
      </c>
      <c r="Q51" s="32" t="n">
        <v>3.908</v>
      </c>
      <c r="R51" s="32" t="n">
        <v>19</v>
      </c>
      <c r="S51" s="33" t="n">
        <v>40812</v>
      </c>
    </row>
    <row r="52" customFormat="false" ht="16.15" hidden="false" customHeight="false" outlineLevel="0" collapsed="false">
      <c r="A52" s="27" t="s">
        <v>94</v>
      </c>
      <c r="B52" s="28" t="s">
        <v>101</v>
      </c>
      <c r="C52" s="29" t="n">
        <v>276747</v>
      </c>
      <c r="D52" s="30" t="n">
        <v>31930</v>
      </c>
      <c r="E52" s="30" t="n">
        <v>16640</v>
      </c>
      <c r="F52" s="31" t="n">
        <f aca="false">SUM(E52/D52)</f>
        <v>0.521139993736298</v>
      </c>
      <c r="G52" s="31" t="str">
        <f aca="false">IF(F52&gt;69%, "GOOD", "POOR")</f>
        <v>POOR</v>
      </c>
      <c r="H52" s="32" t="n">
        <v>4</v>
      </c>
      <c r="I52" s="32" t="n">
        <v>210</v>
      </c>
      <c r="J52" s="32" t="str">
        <f aca="false" t="array" ref="J52:J52">_xlfn.IFS(I52&gt;299,"High HP",I52&gt;99,"Medium HP",I52&lt;100,"Low HP")</f>
        <v>Medium HP</v>
      </c>
      <c r="K52" s="32" t="s">
        <v>64</v>
      </c>
      <c r="L52" s="32" t="n">
        <v>19</v>
      </c>
      <c r="M52" s="32" t="n">
        <v>87.63549578</v>
      </c>
      <c r="N52" s="32" t="n">
        <v>111.6</v>
      </c>
      <c r="O52" s="32" t="n">
        <v>70.2</v>
      </c>
      <c r="P52" s="32" t="n">
        <v>190.7</v>
      </c>
      <c r="Q52" s="32" t="n">
        <v>3.876</v>
      </c>
      <c r="R52" s="32" t="n">
        <v>21</v>
      </c>
      <c r="S52" s="33" t="n">
        <v>41024</v>
      </c>
    </row>
    <row r="53" customFormat="false" ht="16.15" hidden="false" customHeight="false" outlineLevel="0" collapsed="false">
      <c r="A53" s="27" t="s">
        <v>94</v>
      </c>
      <c r="B53" s="28" t="s">
        <v>102</v>
      </c>
      <c r="C53" s="29" t="n">
        <v>155787</v>
      </c>
      <c r="D53" s="30" t="n">
        <v>21410</v>
      </c>
      <c r="E53" s="30" t="n">
        <v>13175</v>
      </c>
      <c r="F53" s="31" t="n">
        <f aca="false">SUM(E53/D53)</f>
        <v>0.615366651097618</v>
      </c>
      <c r="G53" s="31" t="str">
        <f aca="false">IF(F53&gt;69%, "GOOD", "POOR")</f>
        <v>POOR</v>
      </c>
      <c r="H53" s="32" t="n">
        <v>3</v>
      </c>
      <c r="I53" s="32" t="n">
        <v>150</v>
      </c>
      <c r="J53" s="32" t="str">
        <f aca="false" t="array" ref="J53:J53">_xlfn.IFS(I53&gt;299,"High HP",I53&gt;99,"Medium HP",I53&lt;100,"Low HP")</f>
        <v>Medium HP</v>
      </c>
      <c r="K53" s="32" t="s">
        <v>64</v>
      </c>
      <c r="L53" s="32" t="n">
        <v>21</v>
      </c>
      <c r="M53" s="32" t="n">
        <v>62.09504839</v>
      </c>
      <c r="N53" s="32" t="n">
        <v>120.7</v>
      </c>
      <c r="O53" s="32" t="n">
        <v>76.6</v>
      </c>
      <c r="P53" s="32" t="n">
        <v>200.9</v>
      </c>
      <c r="Q53" s="32" t="n">
        <v>3.761</v>
      </c>
      <c r="R53" s="32" t="n">
        <v>26</v>
      </c>
      <c r="S53" s="33" t="n">
        <v>40964</v>
      </c>
    </row>
    <row r="54" customFormat="false" ht="16.15" hidden="false" customHeight="false" outlineLevel="0" collapsed="false">
      <c r="A54" s="27" t="s">
        <v>94</v>
      </c>
      <c r="B54" s="28" t="s">
        <v>103</v>
      </c>
      <c r="C54" s="29" t="n">
        <v>125338</v>
      </c>
      <c r="D54" s="30" t="n">
        <v>36135</v>
      </c>
      <c r="E54" s="30" t="n">
        <v>23575</v>
      </c>
      <c r="F54" s="31" t="n">
        <f aca="false">SUM(E54/D54)</f>
        <v>0.652414556524146</v>
      </c>
      <c r="G54" s="31" t="str">
        <f aca="false">IF(F54&gt;69%, "GOOD", "POOR")</f>
        <v>POOR</v>
      </c>
      <c r="H54" s="32" t="n">
        <v>4.6</v>
      </c>
      <c r="I54" s="32" t="n">
        <v>240</v>
      </c>
      <c r="J54" s="32" t="str">
        <f aca="false" t="array" ref="J54:J54">_xlfn.IFS(I54&gt;299,"High HP",I54&gt;99,"Medium HP",I54&lt;100,"Low HP")</f>
        <v>Medium HP</v>
      </c>
      <c r="K54" s="32" t="s">
        <v>64</v>
      </c>
      <c r="L54" s="32" t="n">
        <v>16</v>
      </c>
      <c r="M54" s="32" t="n">
        <v>100.0248023</v>
      </c>
      <c r="N54" s="32" t="n">
        <v>119</v>
      </c>
      <c r="O54" s="32" t="n">
        <v>78.7</v>
      </c>
      <c r="P54" s="32" t="n">
        <v>204.6</v>
      </c>
      <c r="Q54" s="32" t="n">
        <v>4.808</v>
      </c>
      <c r="R54" s="32" t="n">
        <v>26</v>
      </c>
      <c r="S54" s="33" t="n">
        <v>41166</v>
      </c>
    </row>
    <row r="55" customFormat="false" ht="16.15" hidden="false" customHeight="false" outlineLevel="0" collapsed="false">
      <c r="A55" s="27" t="s">
        <v>94</v>
      </c>
      <c r="B55" s="28" t="s">
        <v>104</v>
      </c>
      <c r="C55" s="29" t="n">
        <v>220650</v>
      </c>
      <c r="D55" s="30" t="n">
        <v>12050</v>
      </c>
      <c r="E55" s="30" t="n">
        <v>7850</v>
      </c>
      <c r="F55" s="31" t="n">
        <f aca="false">SUM(E55/D55)</f>
        <v>0.651452282157676</v>
      </c>
      <c r="G55" s="31" t="str">
        <f aca="false">IF(F55&gt;69%, "GOOD", "POOR")</f>
        <v>POOR</v>
      </c>
      <c r="H55" s="32" t="n">
        <v>2.5</v>
      </c>
      <c r="I55" s="32" t="n">
        <v>119</v>
      </c>
      <c r="J55" s="32" t="str">
        <f aca="false" t="array" ref="J55:J55">_xlfn.IFS(I55&gt;299,"High HP",I55&gt;99,"Medium HP",I55&lt;100,"Low HP")</f>
        <v>Medium HP</v>
      </c>
      <c r="K55" s="32" t="s">
        <v>64</v>
      </c>
      <c r="L55" s="32" t="n">
        <v>23</v>
      </c>
      <c r="M55" s="32" t="n">
        <v>47.38953131</v>
      </c>
      <c r="N55" s="32" t="n">
        <v>117.5</v>
      </c>
      <c r="O55" s="32" t="n">
        <v>69.4</v>
      </c>
      <c r="P55" s="32" t="n">
        <v>200.7</v>
      </c>
      <c r="Q55" s="32" t="n">
        <v>3.086</v>
      </c>
      <c r="R55" s="32" t="n">
        <v>20</v>
      </c>
      <c r="S55" s="33" t="n">
        <v>40922</v>
      </c>
    </row>
    <row r="56" customFormat="false" ht="16.15" hidden="false" customHeight="false" outlineLevel="0" collapsed="false">
      <c r="A56" s="27" t="s">
        <v>94</v>
      </c>
      <c r="B56" s="28" t="s">
        <v>105</v>
      </c>
      <c r="C56" s="29" t="n">
        <v>540561</v>
      </c>
      <c r="D56" s="30" t="n">
        <v>26935</v>
      </c>
      <c r="E56" s="30" t="n">
        <v>15075</v>
      </c>
      <c r="F56" s="31" t="n">
        <f aca="false">SUM(E56/D56)</f>
        <v>0.559680712827177</v>
      </c>
      <c r="G56" s="31" t="str">
        <f aca="false">IF(F56&gt;69%, "GOOD", "POOR")</f>
        <v>POOR</v>
      </c>
      <c r="H56" s="32" t="n">
        <v>4.6</v>
      </c>
      <c r="I56" s="32" t="n">
        <v>220</v>
      </c>
      <c r="J56" s="32" t="str">
        <f aca="false" t="array" ref="J56:J56">_xlfn.IFS(I56&gt;299,"High HP",I56&gt;99,"Medium HP",I56&lt;100,"Low HP")</f>
        <v>Medium HP</v>
      </c>
      <c r="K56" s="32" t="s">
        <v>64</v>
      </c>
      <c r="L56" s="32" t="n">
        <v>18</v>
      </c>
      <c r="M56" s="32" t="n">
        <v>89.40193473</v>
      </c>
      <c r="N56" s="32" t="n">
        <v>138.5</v>
      </c>
      <c r="O56" s="32" t="n">
        <v>79.1</v>
      </c>
      <c r="P56" s="32" t="n">
        <v>224.5</v>
      </c>
      <c r="Q56" s="32" t="n">
        <v>4.241</v>
      </c>
      <c r="R56" s="32" t="n">
        <v>25.1</v>
      </c>
      <c r="S56" s="33" t="n">
        <v>41137</v>
      </c>
    </row>
    <row r="57" customFormat="false" ht="16.15" hidden="false" customHeight="false" outlineLevel="0" collapsed="false">
      <c r="A57" s="27" t="s">
        <v>3</v>
      </c>
      <c r="B57" s="28" t="s">
        <v>106</v>
      </c>
      <c r="C57" s="29" t="n">
        <v>199685</v>
      </c>
      <c r="D57" s="30" t="n">
        <v>12885</v>
      </c>
      <c r="E57" s="30" t="n">
        <v>9850</v>
      </c>
      <c r="F57" s="31" t="n">
        <f aca="false">SUM(E57/D57)</f>
        <v>0.764454792394257</v>
      </c>
      <c r="G57" s="31" t="str">
        <f aca="false">IF(F57&gt;69%, "GOOD", "POOR")</f>
        <v>GOOD</v>
      </c>
      <c r="H57" s="32" t="n">
        <v>1.6</v>
      </c>
      <c r="I57" s="32" t="n">
        <v>106</v>
      </c>
      <c r="J57" s="32" t="str">
        <f aca="false" t="array" ref="J57:J57">_xlfn.IFS(I57&gt;299,"High HP",I57&gt;99,"Medium HP",I57&lt;100,"Low HP")</f>
        <v>Medium HP</v>
      </c>
      <c r="K57" s="32" t="s">
        <v>42</v>
      </c>
      <c r="L57" s="32" t="n">
        <v>32</v>
      </c>
      <c r="M57" s="32" t="n">
        <v>42.87909734</v>
      </c>
      <c r="N57" s="32" t="n">
        <v>103.2</v>
      </c>
      <c r="O57" s="32" t="n">
        <v>67.1</v>
      </c>
      <c r="P57" s="32" t="n">
        <v>175.1</v>
      </c>
      <c r="Q57" s="32" t="n">
        <v>2.339</v>
      </c>
      <c r="R57" s="32" t="n">
        <v>11.9</v>
      </c>
      <c r="S57" s="33" t="n">
        <v>40837</v>
      </c>
    </row>
    <row r="58" customFormat="false" ht="16.15" hidden="false" customHeight="false" outlineLevel="0" collapsed="false">
      <c r="A58" s="27" t="s">
        <v>3</v>
      </c>
      <c r="B58" s="28" t="s">
        <v>107</v>
      </c>
      <c r="C58" s="29" t="n">
        <v>230902</v>
      </c>
      <c r="D58" s="30" t="n">
        <v>15350</v>
      </c>
      <c r="E58" s="30" t="n">
        <v>13210</v>
      </c>
      <c r="F58" s="31" t="n">
        <f aca="false">SUM(E58/D58)</f>
        <v>0.860586319218241</v>
      </c>
      <c r="G58" s="31" t="str">
        <f aca="false">IF(F58&gt;69%, "GOOD", "POOR")</f>
        <v>GOOD</v>
      </c>
      <c r="H58" s="32" t="n">
        <v>2.3</v>
      </c>
      <c r="I58" s="32" t="n">
        <v>135</v>
      </c>
      <c r="J58" s="32" t="str">
        <f aca="false" t="array" ref="J58:J58">_xlfn.IFS(I58&gt;299,"High HP",I58&gt;99,"Medium HP",I58&lt;100,"Low HP")</f>
        <v>Medium HP</v>
      </c>
      <c r="K58" s="32" t="s">
        <v>42</v>
      </c>
      <c r="L58" s="32" t="n">
        <v>27</v>
      </c>
      <c r="M58" s="32" t="n">
        <v>54.26954829</v>
      </c>
      <c r="N58" s="32" t="n">
        <v>106.9</v>
      </c>
      <c r="O58" s="32" t="n">
        <v>70.3</v>
      </c>
      <c r="P58" s="32" t="n">
        <v>188.8</v>
      </c>
      <c r="Q58" s="32" t="n">
        <v>2.932</v>
      </c>
      <c r="R58" s="32" t="n">
        <v>17.1</v>
      </c>
      <c r="S58" s="33" t="n">
        <v>41049</v>
      </c>
    </row>
    <row r="59" customFormat="false" ht="16.15" hidden="false" customHeight="false" outlineLevel="0" collapsed="false">
      <c r="A59" s="27" t="s">
        <v>3</v>
      </c>
      <c r="B59" s="28" t="s">
        <v>108</v>
      </c>
      <c r="C59" s="29" t="n">
        <v>73203</v>
      </c>
      <c r="D59" s="30" t="n">
        <v>20550</v>
      </c>
      <c r="E59" s="30" t="n">
        <v>17710</v>
      </c>
      <c r="F59" s="31" t="n">
        <f aca="false">SUM(E59/D59)</f>
        <v>0.861800486618005</v>
      </c>
      <c r="G59" s="31" t="str">
        <f aca="false">IF(F59&gt;69%, "GOOD", "POOR")</f>
        <v>GOOD</v>
      </c>
      <c r="H59" s="32" t="n">
        <v>2</v>
      </c>
      <c r="I59" s="32" t="n">
        <v>146</v>
      </c>
      <c r="J59" s="32" t="str">
        <f aca="false" t="array" ref="J59:J59">_xlfn.IFS(I59&gt;299,"High HP",I59&gt;99,"Medium HP",I59&lt;100,"Low HP")</f>
        <v>Medium HP</v>
      </c>
      <c r="K59" s="32" t="s">
        <v>64</v>
      </c>
      <c r="L59" s="32" t="n">
        <v>24</v>
      </c>
      <c r="M59" s="32" t="n">
        <v>60.08796662</v>
      </c>
      <c r="N59" s="32" t="n">
        <v>103.2</v>
      </c>
      <c r="O59" s="32" t="n">
        <v>68.9</v>
      </c>
      <c r="P59" s="32" t="n">
        <v>177.6</v>
      </c>
      <c r="Q59" s="32" t="n">
        <v>3.219</v>
      </c>
      <c r="R59" s="32" t="n">
        <v>15.3</v>
      </c>
      <c r="S59" s="33" t="n">
        <v>40989</v>
      </c>
    </row>
    <row r="60" customFormat="false" ht="16.15" hidden="false" customHeight="false" outlineLevel="0" collapsed="false">
      <c r="A60" s="27" t="s">
        <v>3</v>
      </c>
      <c r="B60" s="28" t="s">
        <v>109</v>
      </c>
      <c r="C60" s="29" t="n">
        <v>12855</v>
      </c>
      <c r="D60" s="30" t="n">
        <v>26600</v>
      </c>
      <c r="E60" s="30" t="n">
        <v>17525</v>
      </c>
      <c r="F60" s="31" t="n">
        <f aca="false">SUM(E60/D60)</f>
        <v>0.658834586466165</v>
      </c>
      <c r="G60" s="31" t="str">
        <f aca="false">IF(F60&gt;69%, "GOOD", "POOR")</f>
        <v>POOR</v>
      </c>
      <c r="H60" s="32" t="n">
        <v>3.2</v>
      </c>
      <c r="I60" s="32" t="n">
        <v>205</v>
      </c>
      <c r="J60" s="32" t="str">
        <f aca="false" t="array" ref="J60:J60">_xlfn.IFS(I60&gt;299,"High HP",I60&gt;99,"Medium HP",I60&lt;100,"Low HP")</f>
        <v>Medium HP</v>
      </c>
      <c r="K60" s="32" t="s">
        <v>64</v>
      </c>
      <c r="L60" s="32" t="n">
        <v>19</v>
      </c>
      <c r="M60" s="32" t="n">
        <v>83.6025008</v>
      </c>
      <c r="N60" s="32" t="n">
        <v>106.4</v>
      </c>
      <c r="O60" s="32" t="n">
        <v>70.4</v>
      </c>
      <c r="P60" s="32" t="n">
        <v>178.2</v>
      </c>
      <c r="Q60" s="32" t="n">
        <v>3.857</v>
      </c>
      <c r="R60" s="32" t="n">
        <v>21.1</v>
      </c>
      <c r="S60" s="33" t="n">
        <v>41191</v>
      </c>
    </row>
    <row r="61" customFormat="false" ht="16.15" hidden="false" customHeight="false" outlineLevel="0" collapsed="false">
      <c r="A61" s="27" t="s">
        <v>3</v>
      </c>
      <c r="B61" s="28" t="s">
        <v>110</v>
      </c>
      <c r="C61" s="29" t="n">
        <v>76029</v>
      </c>
      <c r="D61" s="30" t="n">
        <v>26000</v>
      </c>
      <c r="E61" s="30" t="n">
        <v>19490</v>
      </c>
      <c r="F61" s="31" t="n">
        <f aca="false">SUM(E61/D61)</f>
        <v>0.749615384615385</v>
      </c>
      <c r="G61" s="31" t="str">
        <f aca="false">IF(F61&gt;69%, "GOOD", "POOR")</f>
        <v>GOOD</v>
      </c>
      <c r="H61" s="32" t="n">
        <v>3.5</v>
      </c>
      <c r="I61" s="32" t="n">
        <v>210</v>
      </c>
      <c r="J61" s="32" t="str">
        <f aca="false" t="array" ref="J61:J61">_xlfn.IFS(I61&gt;299,"High HP",I61&gt;99,"Medium HP",I61&lt;100,"Low HP")</f>
        <v>Medium HP</v>
      </c>
      <c r="K61" s="32" t="s">
        <v>64</v>
      </c>
      <c r="L61" s="32" t="n">
        <v>23</v>
      </c>
      <c r="M61" s="32" t="n">
        <v>85.21769134</v>
      </c>
      <c r="N61" s="32" t="n">
        <v>118.1</v>
      </c>
      <c r="O61" s="32" t="n">
        <v>75.6</v>
      </c>
      <c r="P61" s="32" t="n">
        <v>201.2</v>
      </c>
      <c r="Q61" s="32" t="n">
        <v>4.288</v>
      </c>
      <c r="R61" s="32" t="n">
        <v>20</v>
      </c>
      <c r="S61" s="33" t="n">
        <v>40947</v>
      </c>
    </row>
    <row r="62" customFormat="false" ht="16.15" hidden="false" customHeight="false" outlineLevel="0" collapsed="false">
      <c r="A62" s="27" t="s">
        <v>111</v>
      </c>
      <c r="B62" s="28" t="s">
        <v>112</v>
      </c>
      <c r="C62" s="29" t="n">
        <v>41184</v>
      </c>
      <c r="D62" s="30" t="n">
        <v>9699</v>
      </c>
      <c r="E62" s="30" t="n">
        <v>5860</v>
      </c>
      <c r="F62" s="31" t="n">
        <f aca="false">SUM(E62/D62)</f>
        <v>0.604185998556552</v>
      </c>
      <c r="G62" s="31" t="str">
        <f aca="false">IF(F62&gt;69%, "GOOD", "POOR")</f>
        <v>POOR</v>
      </c>
      <c r="H62" s="32" t="n">
        <v>1.5</v>
      </c>
      <c r="I62" s="32" t="n">
        <v>92</v>
      </c>
      <c r="J62" s="32" t="str">
        <f aca="false" t="array" ref="J62:J62">_xlfn.IFS(I62&gt;299,"High HP",I62&gt;99,"Medium HP",I62&lt;100,"Low HP")</f>
        <v>Low HP</v>
      </c>
      <c r="K62" s="32" t="s">
        <v>42</v>
      </c>
      <c r="L62" s="32" t="n">
        <v>31</v>
      </c>
      <c r="M62" s="32" t="n">
        <v>36.67228358</v>
      </c>
      <c r="N62" s="32" t="n">
        <v>96.1</v>
      </c>
      <c r="O62" s="32" t="n">
        <v>65.7</v>
      </c>
      <c r="P62" s="32" t="n">
        <v>166.7</v>
      </c>
      <c r="Q62" s="32" t="n">
        <v>2.24</v>
      </c>
      <c r="R62" s="32" t="n">
        <v>11.9</v>
      </c>
      <c r="S62" s="33" t="n">
        <v>41162</v>
      </c>
    </row>
    <row r="63" customFormat="false" ht="16.15" hidden="false" customHeight="false" outlineLevel="0" collapsed="false">
      <c r="A63" s="27" t="s">
        <v>111</v>
      </c>
      <c r="B63" s="28" t="s">
        <v>113</v>
      </c>
      <c r="C63" s="29" t="n">
        <v>66692</v>
      </c>
      <c r="D63" s="30" t="n">
        <v>11799</v>
      </c>
      <c r="E63" s="30" t="n">
        <v>7825</v>
      </c>
      <c r="F63" s="31" t="n">
        <f aca="false">SUM(E63/D63)</f>
        <v>0.663191795914908</v>
      </c>
      <c r="G63" s="31" t="str">
        <f aca="false">IF(F63&gt;69%, "GOOD", "POOR")</f>
        <v>POOR</v>
      </c>
      <c r="H63" s="32" t="n">
        <v>2</v>
      </c>
      <c r="I63" s="32" t="n">
        <v>140</v>
      </c>
      <c r="J63" s="32" t="str">
        <f aca="false" t="array" ref="J63:J63">_xlfn.IFS(I63&gt;299,"High HP",I63&gt;99,"Medium HP",I63&lt;100,"Low HP")</f>
        <v>Medium HP</v>
      </c>
      <c r="K63" s="32" t="s">
        <v>42</v>
      </c>
      <c r="L63" s="32" t="n">
        <v>27</v>
      </c>
      <c r="M63" s="32" t="n">
        <v>54.59004516</v>
      </c>
      <c r="N63" s="32" t="n">
        <v>100.4</v>
      </c>
      <c r="O63" s="32" t="n">
        <v>66.9</v>
      </c>
      <c r="P63" s="32" t="n">
        <v>174</v>
      </c>
      <c r="Q63" s="32" t="n">
        <v>2.626</v>
      </c>
      <c r="R63" s="32" t="n">
        <v>14.5</v>
      </c>
      <c r="S63" s="33" t="n">
        <v>40862</v>
      </c>
    </row>
    <row r="64" customFormat="false" ht="16.15" hidden="false" customHeight="false" outlineLevel="0" collapsed="false">
      <c r="A64" s="27" t="s">
        <v>111</v>
      </c>
      <c r="B64" s="28" t="s">
        <v>114</v>
      </c>
      <c r="C64" s="29" t="n">
        <v>29450</v>
      </c>
      <c r="D64" s="30" t="n">
        <v>14999</v>
      </c>
      <c r="E64" s="30" t="n">
        <v>8910</v>
      </c>
      <c r="F64" s="31" t="n">
        <f aca="false">SUM(E64/D64)</f>
        <v>0.594039602640176</v>
      </c>
      <c r="G64" s="31" t="str">
        <f aca="false">IF(F64&gt;69%, "GOOD", "POOR")</f>
        <v>POOR</v>
      </c>
      <c r="H64" s="32" t="n">
        <v>2.4</v>
      </c>
      <c r="I64" s="32" t="n">
        <v>148</v>
      </c>
      <c r="J64" s="32" t="str">
        <f aca="false" t="array" ref="J64:J64">_xlfn.IFS(I64&gt;299,"High HP",I64&gt;99,"Medium HP",I64&lt;100,"Low HP")</f>
        <v>Medium HP</v>
      </c>
      <c r="K64" s="32" t="s">
        <v>42</v>
      </c>
      <c r="L64" s="32" t="n">
        <v>25</v>
      </c>
      <c r="M64" s="32" t="n">
        <v>58.758249</v>
      </c>
      <c r="N64" s="32" t="n">
        <v>106.3</v>
      </c>
      <c r="O64" s="32" t="n">
        <v>71.6</v>
      </c>
      <c r="P64" s="32" t="n">
        <v>185.4</v>
      </c>
      <c r="Q64" s="32" t="n">
        <v>3.072</v>
      </c>
      <c r="R64" s="32" t="n">
        <v>17.2</v>
      </c>
      <c r="S64" s="33" t="n">
        <v>41074</v>
      </c>
    </row>
    <row r="65" customFormat="false" ht="16.15" hidden="false" customHeight="false" outlineLevel="0" collapsed="false">
      <c r="A65" s="27" t="s">
        <v>4</v>
      </c>
      <c r="B65" s="28" t="s">
        <v>115</v>
      </c>
      <c r="C65" s="29" t="n">
        <v>23713</v>
      </c>
      <c r="D65" s="30" t="n">
        <v>29465</v>
      </c>
      <c r="E65" s="30" t="n">
        <v>19690</v>
      </c>
      <c r="F65" s="31" t="n">
        <f aca="false">SUM(E65/D65)</f>
        <v>0.668250466655354</v>
      </c>
      <c r="G65" s="31" t="str">
        <f aca="false">IF(F65&gt;69%, "GOOD", "POOR")</f>
        <v>POOR</v>
      </c>
      <c r="H65" s="32" t="n">
        <v>3</v>
      </c>
      <c r="I65" s="32" t="n">
        <v>227</v>
      </c>
      <c r="J65" s="32" t="str">
        <f aca="false" t="array" ref="J65:J65">_xlfn.IFS(I65&gt;299,"High HP",I65&gt;99,"Medium HP",I65&lt;100,"Low HP")</f>
        <v>Medium HP</v>
      </c>
      <c r="K65" s="32" t="s">
        <v>42</v>
      </c>
      <c r="L65" s="32" t="n">
        <v>25</v>
      </c>
      <c r="M65" s="32" t="n">
        <v>92.43688923</v>
      </c>
      <c r="N65" s="32" t="n">
        <v>108.3</v>
      </c>
      <c r="O65" s="32" t="n">
        <v>70.2</v>
      </c>
      <c r="P65" s="32" t="n">
        <v>193.7</v>
      </c>
      <c r="Q65" s="32" t="n">
        <v>3.342</v>
      </c>
      <c r="R65" s="32" t="n">
        <v>18.5</v>
      </c>
      <c r="S65" s="33" t="n">
        <v>41014</v>
      </c>
    </row>
    <row r="66" customFormat="false" ht="16.15" hidden="false" customHeight="false" outlineLevel="0" collapsed="false">
      <c r="A66" s="27" t="s">
        <v>116</v>
      </c>
      <c r="B66" s="28" t="s">
        <v>117</v>
      </c>
      <c r="C66" s="29" t="n">
        <v>15467</v>
      </c>
      <c r="D66" s="30" t="n">
        <v>42800</v>
      </c>
      <c r="E66" s="30" t="n">
        <v>33219</v>
      </c>
      <c r="F66" s="31" t="n">
        <f aca="false">SUM(E66/D66)</f>
        <v>0.776144859813084</v>
      </c>
      <c r="G66" s="31" t="str">
        <f aca="false">IF(F66&gt;69%, "GOOD", "POOR")</f>
        <v>GOOD</v>
      </c>
      <c r="H66" s="32" t="n">
        <v>3</v>
      </c>
      <c r="I66" s="32" t="n">
        <v>240</v>
      </c>
      <c r="J66" s="32" t="str">
        <f aca="false" t="array" ref="J66:J66">_xlfn.IFS(I66&gt;299,"High HP",I66&gt;99,"Medium HP",I66&lt;100,"Low HP")</f>
        <v>Medium HP</v>
      </c>
      <c r="K66" s="32" t="s">
        <v>42</v>
      </c>
      <c r="L66" s="32" t="n">
        <v>21</v>
      </c>
      <c r="M66" s="32" t="n">
        <v>102.1789848</v>
      </c>
      <c r="N66" s="32" t="n">
        <v>114.5</v>
      </c>
      <c r="O66" s="32" t="n">
        <v>71.6</v>
      </c>
      <c r="P66" s="32" t="n">
        <v>191.3</v>
      </c>
      <c r="Q66" s="32" t="n">
        <v>3.65</v>
      </c>
      <c r="R66" s="32" t="n">
        <v>18.4</v>
      </c>
      <c r="S66" s="33" t="n">
        <v>41216</v>
      </c>
    </row>
    <row r="67" customFormat="false" ht="16.15" hidden="false" customHeight="false" outlineLevel="0" collapsed="false">
      <c r="A67" s="27" t="s">
        <v>118</v>
      </c>
      <c r="B67" s="28" t="s">
        <v>119</v>
      </c>
      <c r="C67" s="29" t="n">
        <v>55557</v>
      </c>
      <c r="D67" s="30" t="n">
        <v>14460</v>
      </c>
      <c r="E67" s="30" t="n">
        <v>13475</v>
      </c>
      <c r="F67" s="31" t="n">
        <f aca="false">SUM(E67/D67)</f>
        <v>0.931881051175657</v>
      </c>
      <c r="G67" s="31" t="str">
        <f aca="false">IF(F67&gt;69%, "GOOD", "POOR")</f>
        <v>GOOD</v>
      </c>
      <c r="H67" s="32" t="n">
        <v>2.5</v>
      </c>
      <c r="I67" s="32" t="n">
        <v>120</v>
      </c>
      <c r="J67" s="32" t="str">
        <f aca="false" t="array" ref="J67:J67">_xlfn.IFS(I67&gt;299,"High HP",I67&gt;99,"Medium HP",I67&lt;100,"Low HP")</f>
        <v>Medium HP</v>
      </c>
      <c r="K67" s="32" t="s">
        <v>64</v>
      </c>
      <c r="L67" s="32" t="n">
        <v>17</v>
      </c>
      <c r="M67" s="32" t="n">
        <v>48.67289791</v>
      </c>
      <c r="N67" s="32" t="n">
        <v>93.4</v>
      </c>
      <c r="O67" s="32" t="n">
        <v>66.7</v>
      </c>
      <c r="P67" s="32" t="n">
        <v>152</v>
      </c>
      <c r="Q67" s="32" t="n">
        <v>3.045</v>
      </c>
      <c r="R67" s="32" t="n">
        <v>19</v>
      </c>
      <c r="S67" s="33" t="n">
        <v>40972</v>
      </c>
    </row>
    <row r="68" customFormat="false" ht="16.15" hidden="false" customHeight="false" outlineLevel="0" collapsed="false">
      <c r="A68" s="27" t="s">
        <v>118</v>
      </c>
      <c r="B68" s="28" t="s">
        <v>120</v>
      </c>
      <c r="C68" s="29" t="n">
        <v>80556</v>
      </c>
      <c r="D68" s="30" t="n">
        <v>21620</v>
      </c>
      <c r="E68" s="30" t="n">
        <v>13775</v>
      </c>
      <c r="F68" s="31" t="n">
        <f aca="false">SUM(E68/D68)</f>
        <v>0.637141535615171</v>
      </c>
      <c r="G68" s="31" t="str">
        <f aca="false">IF(F68&gt;69%, "GOOD", "POOR")</f>
        <v>POOR</v>
      </c>
      <c r="H68" s="32" t="n">
        <v>4</v>
      </c>
      <c r="I68" s="32" t="n">
        <v>190</v>
      </c>
      <c r="J68" s="32" t="str">
        <f aca="false" t="array" ref="J68:J68">_xlfn.IFS(I68&gt;299,"High HP",I68&gt;99,"Medium HP",I68&lt;100,"Low HP")</f>
        <v>Medium HP</v>
      </c>
      <c r="K68" s="32" t="s">
        <v>64</v>
      </c>
      <c r="L68" s="32" t="n">
        <v>20</v>
      </c>
      <c r="M68" s="32" t="n">
        <v>76.58443962</v>
      </c>
      <c r="N68" s="32" t="n">
        <v>101.4</v>
      </c>
      <c r="O68" s="32" t="n">
        <v>69.4</v>
      </c>
      <c r="P68" s="32" t="n">
        <v>167.5</v>
      </c>
      <c r="Q68" s="32" t="n">
        <v>3.194</v>
      </c>
      <c r="R68" s="32" t="n">
        <v>20</v>
      </c>
      <c r="S68" s="33" t="n">
        <v>41187</v>
      </c>
    </row>
    <row r="69" customFormat="false" ht="16.15" hidden="false" customHeight="false" outlineLevel="0" collapsed="false">
      <c r="A69" s="27" t="s">
        <v>118</v>
      </c>
      <c r="B69" s="28" t="s">
        <v>121</v>
      </c>
      <c r="C69" s="29" t="n">
        <v>157040</v>
      </c>
      <c r="D69" s="30" t="n">
        <v>26895</v>
      </c>
      <c r="E69" s="30" t="n">
        <v>18810</v>
      </c>
      <c r="F69" s="31" t="n">
        <f aca="false">SUM(E69/D69)</f>
        <v>0.699386503067485</v>
      </c>
      <c r="G69" s="31" t="str">
        <f aca="false">IF(F69&gt;69%, "GOOD", "POOR")</f>
        <v>GOOD</v>
      </c>
      <c r="H69" s="32" t="n">
        <v>4</v>
      </c>
      <c r="I69" s="32" t="n">
        <v>195</v>
      </c>
      <c r="J69" s="32" t="str">
        <f aca="false" t="array" ref="J69:J69">_xlfn.IFS(I69&gt;299,"High HP",I69&gt;99,"Medium HP",I69&lt;100,"Low HP")</f>
        <v>Medium HP</v>
      </c>
      <c r="K69" s="32" t="s">
        <v>64</v>
      </c>
      <c r="L69" s="32" t="n">
        <v>19</v>
      </c>
      <c r="M69" s="32" t="n">
        <v>80.38777912</v>
      </c>
      <c r="N69" s="32" t="n">
        <v>105.9</v>
      </c>
      <c r="O69" s="32" t="n">
        <v>72.3</v>
      </c>
      <c r="P69" s="32" t="n">
        <v>181.5</v>
      </c>
      <c r="Q69" s="32" t="n">
        <v>3.88</v>
      </c>
      <c r="R69" s="32" t="n">
        <v>20.5</v>
      </c>
      <c r="S69" s="33" t="n">
        <v>40887</v>
      </c>
    </row>
    <row r="70" customFormat="false" ht="16.15" hidden="false" customHeight="false" outlineLevel="0" collapsed="false">
      <c r="A70" s="27" t="s">
        <v>5</v>
      </c>
      <c r="B70" s="28" t="s">
        <v>122</v>
      </c>
      <c r="C70" s="29" t="n">
        <v>24072</v>
      </c>
      <c r="D70" s="30" t="n">
        <v>31505</v>
      </c>
      <c r="E70" s="30" t="n">
        <v>26975</v>
      </c>
      <c r="F70" s="31" t="n">
        <f aca="false">SUM(E70/D70)</f>
        <v>0.856213299476274</v>
      </c>
      <c r="G70" s="31" t="str">
        <f aca="false">IF(F70&gt;69%, "GOOD", "POOR")</f>
        <v>GOOD</v>
      </c>
      <c r="H70" s="32" t="n">
        <v>3</v>
      </c>
      <c r="I70" s="32" t="n">
        <v>210</v>
      </c>
      <c r="J70" s="32" t="str">
        <f aca="false" t="array" ref="J70:J70">_xlfn.IFS(I70&gt;299,"High HP",I70&gt;99,"Medium HP",I70&lt;100,"Low HP")</f>
        <v>Medium HP</v>
      </c>
      <c r="K70" s="32" t="s">
        <v>42</v>
      </c>
      <c r="L70" s="32" t="n">
        <v>23</v>
      </c>
      <c r="M70" s="32" t="n">
        <v>87.21100104</v>
      </c>
      <c r="N70" s="32" t="n">
        <v>105.1</v>
      </c>
      <c r="O70" s="32" t="n">
        <v>70.5</v>
      </c>
      <c r="P70" s="32" t="n">
        <v>190.2</v>
      </c>
      <c r="Q70" s="32" t="n">
        <v>3.373</v>
      </c>
      <c r="R70" s="32" t="n">
        <v>18.5</v>
      </c>
      <c r="S70" s="33" t="n">
        <v>41099</v>
      </c>
    </row>
    <row r="71" customFormat="false" ht="16.15" hidden="false" customHeight="false" outlineLevel="0" collapsed="false">
      <c r="A71" s="27" t="s">
        <v>5</v>
      </c>
      <c r="B71" s="28" t="s">
        <v>123</v>
      </c>
      <c r="C71" s="29" t="n">
        <v>12698</v>
      </c>
      <c r="D71" s="30" t="n">
        <v>37805</v>
      </c>
      <c r="E71" s="30" t="n">
        <v>32075</v>
      </c>
      <c r="F71" s="31" t="n">
        <f aca="false">SUM(E71/D71)</f>
        <v>0.848432746991139</v>
      </c>
      <c r="G71" s="31" t="str">
        <f aca="false">IF(F71&gt;69%, "GOOD", "POOR")</f>
        <v>GOOD</v>
      </c>
      <c r="H71" s="32" t="n">
        <v>3</v>
      </c>
      <c r="I71" s="32" t="n">
        <v>225</v>
      </c>
      <c r="J71" s="32" t="str">
        <f aca="false" t="array" ref="J71:J71">_xlfn.IFS(I71&gt;299,"High HP",I71&gt;99,"Medium HP",I71&lt;100,"Low HP")</f>
        <v>Medium HP</v>
      </c>
      <c r="K71" s="32" t="s">
        <v>42</v>
      </c>
      <c r="L71" s="32" t="n">
        <v>23</v>
      </c>
      <c r="M71" s="32" t="n">
        <v>94.9466984</v>
      </c>
      <c r="N71" s="32" t="n">
        <v>110.2</v>
      </c>
      <c r="O71" s="32" t="n">
        <v>70.9</v>
      </c>
      <c r="P71" s="32" t="n">
        <v>189.2</v>
      </c>
      <c r="Q71" s="32" t="n">
        <v>3.638</v>
      </c>
      <c r="R71" s="32" t="n">
        <v>19.8</v>
      </c>
      <c r="S71" s="33" t="n">
        <v>41039</v>
      </c>
    </row>
    <row r="72" customFormat="false" ht="16.15" hidden="false" customHeight="false" outlineLevel="0" collapsed="false">
      <c r="A72" s="27" t="s">
        <v>5</v>
      </c>
      <c r="B72" s="28" t="s">
        <v>124</v>
      </c>
      <c r="C72" s="29" t="n">
        <v>3334</v>
      </c>
      <c r="D72" s="30" t="n">
        <v>46305</v>
      </c>
      <c r="E72" s="30" t="n">
        <v>38955</v>
      </c>
      <c r="F72" s="31" t="n">
        <f aca="false">SUM(E72/D72)</f>
        <v>0.841269841269841</v>
      </c>
      <c r="G72" s="31" t="str">
        <f aca="false">IF(F72&gt;69%, "GOOD", "POOR")</f>
        <v>GOOD</v>
      </c>
      <c r="H72" s="32" t="n">
        <v>4</v>
      </c>
      <c r="I72" s="32" t="n">
        <v>300</v>
      </c>
      <c r="J72" s="32" t="str">
        <f aca="false" t="array" ref="J72:J72">_xlfn.IFS(I72&gt;299,"High HP",I72&gt;99,"Medium HP",I72&lt;100,"Low HP")</f>
        <v>High HP</v>
      </c>
      <c r="K72" s="32" t="s">
        <v>42</v>
      </c>
      <c r="L72" s="32" t="n">
        <v>21</v>
      </c>
      <c r="M72" s="32" t="n">
        <v>125.0133574</v>
      </c>
      <c r="N72" s="32" t="n">
        <v>110.2</v>
      </c>
      <c r="O72" s="32" t="n">
        <v>70.9</v>
      </c>
      <c r="P72" s="32" t="n">
        <v>189.2</v>
      </c>
      <c r="Q72" s="32" t="n">
        <v>3.693</v>
      </c>
      <c r="R72" s="32" t="n">
        <v>19.8</v>
      </c>
      <c r="S72" s="33" t="n">
        <v>41241</v>
      </c>
    </row>
    <row r="73" customFormat="false" ht="16.15" hidden="false" customHeight="false" outlineLevel="0" collapsed="false">
      <c r="A73" s="27" t="s">
        <v>5</v>
      </c>
      <c r="B73" s="28" t="s">
        <v>125</v>
      </c>
      <c r="C73" s="29" t="n">
        <v>6375</v>
      </c>
      <c r="D73" s="30" t="n">
        <v>54005</v>
      </c>
      <c r="E73" s="30" t="n">
        <v>40375</v>
      </c>
      <c r="F73" s="31" t="n">
        <f aca="false">SUM(E73/D73)</f>
        <v>0.747615961485048</v>
      </c>
      <c r="G73" s="31" t="str">
        <f aca="false">IF(F73&gt;69%, "GOOD", "POOR")</f>
        <v>GOOD</v>
      </c>
      <c r="H73" s="32" t="n">
        <v>4</v>
      </c>
      <c r="I73" s="32" t="n">
        <v>290</v>
      </c>
      <c r="J73" s="32" t="str">
        <f aca="false" t="array" ref="J73:J73">_xlfn.IFS(I73&gt;299,"High HP",I73&gt;99,"Medium HP",I73&lt;100,"Low HP")</f>
        <v>Medium HP</v>
      </c>
      <c r="K73" s="32" t="s">
        <v>42</v>
      </c>
      <c r="L73" s="32" t="n">
        <v>22</v>
      </c>
      <c r="M73" s="32" t="n">
        <v>124.4467163</v>
      </c>
      <c r="N73" s="32" t="n">
        <v>112.2</v>
      </c>
      <c r="O73" s="32" t="n">
        <v>72</v>
      </c>
      <c r="P73" s="32" t="n">
        <v>196.7</v>
      </c>
      <c r="Q73" s="32" t="n">
        <v>3.89</v>
      </c>
      <c r="R73" s="32" t="n">
        <v>22.5</v>
      </c>
      <c r="S73" s="33" t="n">
        <v>40997</v>
      </c>
    </row>
    <row r="74" customFormat="false" ht="16.15" hidden="false" customHeight="false" outlineLevel="0" collapsed="false">
      <c r="A74" s="27" t="s">
        <v>5</v>
      </c>
      <c r="B74" s="28" t="s">
        <v>126</v>
      </c>
      <c r="C74" s="29" t="n">
        <v>9126</v>
      </c>
      <c r="D74" s="30" t="n">
        <v>60105</v>
      </c>
      <c r="E74" s="30" t="n">
        <v>43870</v>
      </c>
      <c r="F74" s="31" t="n">
        <f aca="false">SUM(E74/D74)</f>
        <v>0.729889360286166</v>
      </c>
      <c r="G74" s="31" t="str">
        <f aca="false">IF(F74&gt;69%, "GOOD", "POOR")</f>
        <v>GOOD</v>
      </c>
      <c r="H74" s="32" t="n">
        <v>4.7</v>
      </c>
      <c r="I74" s="32" t="n">
        <v>230</v>
      </c>
      <c r="J74" s="32" t="str">
        <f aca="false" t="array" ref="J74:J74">_xlfn.IFS(I74&gt;299,"High HP",I74&gt;99,"Medium HP",I74&lt;100,"Low HP")</f>
        <v>Medium HP</v>
      </c>
      <c r="K74" s="32" t="s">
        <v>64</v>
      </c>
      <c r="L74" s="32" t="n">
        <v>15</v>
      </c>
      <c r="M74" s="32" t="n">
        <v>105.760458</v>
      </c>
      <c r="N74" s="32" t="n">
        <v>112.2</v>
      </c>
      <c r="O74" s="32" t="n">
        <v>76.4</v>
      </c>
      <c r="P74" s="32" t="n">
        <v>192.5</v>
      </c>
      <c r="Q74" s="32" t="n">
        <v>5.401</v>
      </c>
      <c r="R74" s="32" t="n">
        <v>25.4</v>
      </c>
      <c r="S74" s="33" t="n">
        <v>41212</v>
      </c>
    </row>
    <row r="75" customFormat="false" ht="16.15" hidden="false" customHeight="false" outlineLevel="0" collapsed="false">
      <c r="A75" s="27" t="s">
        <v>5</v>
      </c>
      <c r="B75" s="28" t="s">
        <v>127</v>
      </c>
      <c r="C75" s="29" t="n">
        <v>51238</v>
      </c>
      <c r="D75" s="30" t="n">
        <v>34605</v>
      </c>
      <c r="E75" s="30" t="n">
        <v>29140</v>
      </c>
      <c r="F75" s="31" t="n">
        <f aca="false">SUM(E75/D75)</f>
        <v>0.842074844675625</v>
      </c>
      <c r="G75" s="31" t="str">
        <f aca="false">IF(F75&gt;69%, "GOOD", "POOR")</f>
        <v>GOOD</v>
      </c>
      <c r="H75" s="32" t="n">
        <v>3</v>
      </c>
      <c r="I75" s="32" t="n">
        <v>220</v>
      </c>
      <c r="J75" s="32" t="str">
        <f aca="false" t="array" ref="J75:J75">_xlfn.IFS(I75&gt;299,"High HP",I75&gt;99,"Medium HP",I75&lt;100,"Low HP")</f>
        <v>Medium HP</v>
      </c>
      <c r="K75" s="32" t="s">
        <v>64</v>
      </c>
      <c r="L75" s="32" t="n">
        <v>21</v>
      </c>
      <c r="M75" s="32" t="n">
        <v>91.94380156</v>
      </c>
      <c r="N75" s="32" t="n">
        <v>103</v>
      </c>
      <c r="O75" s="32" t="n">
        <v>71.5</v>
      </c>
      <c r="P75" s="32" t="n">
        <v>180.1</v>
      </c>
      <c r="Q75" s="32" t="n">
        <v>3.9</v>
      </c>
      <c r="R75" s="32" t="n">
        <v>17.2</v>
      </c>
      <c r="S75" s="33" t="n">
        <v>40912</v>
      </c>
    </row>
    <row r="76" customFormat="false" ht="16.15" hidden="false" customHeight="false" outlineLevel="0" collapsed="false">
      <c r="A76" s="27" t="s">
        <v>128</v>
      </c>
      <c r="B76" s="28" t="s">
        <v>129</v>
      </c>
      <c r="C76" s="29" t="n">
        <v>13798</v>
      </c>
      <c r="D76" s="30" t="n">
        <v>39080</v>
      </c>
      <c r="E76" s="30" t="n">
        <v>20525</v>
      </c>
      <c r="F76" s="31" t="n">
        <f aca="false">SUM(E76/D76)</f>
        <v>0.525204708290686</v>
      </c>
      <c r="G76" s="31" t="str">
        <f aca="false">IF(F76&gt;69%, "GOOD", "POOR")</f>
        <v>POOR</v>
      </c>
      <c r="H76" s="32" t="n">
        <v>4.6</v>
      </c>
      <c r="I76" s="32" t="n">
        <v>275</v>
      </c>
      <c r="J76" s="32" t="str">
        <f aca="false" t="array" ref="J76:J76">_xlfn.IFS(I76&gt;299,"High HP",I76&gt;99,"Medium HP",I76&lt;100,"Low HP")</f>
        <v>Medium HP</v>
      </c>
      <c r="K76" s="32" t="s">
        <v>42</v>
      </c>
      <c r="L76" s="32" t="n">
        <v>22</v>
      </c>
      <c r="M76" s="32" t="n">
        <v>113.5402069</v>
      </c>
      <c r="N76" s="32" t="n">
        <v>109</v>
      </c>
      <c r="O76" s="32" t="n">
        <v>73.6</v>
      </c>
      <c r="P76" s="32" t="n">
        <v>208.5</v>
      </c>
      <c r="Q76" s="32" t="n">
        <v>3.868</v>
      </c>
      <c r="R76" s="32" t="n">
        <v>20</v>
      </c>
      <c r="S76" s="33" t="n">
        <v>41124</v>
      </c>
    </row>
    <row r="77" customFormat="false" ht="16.15" hidden="false" customHeight="false" outlineLevel="0" collapsed="false">
      <c r="A77" s="27" t="s">
        <v>128</v>
      </c>
      <c r="B77" s="28" t="s">
        <v>130</v>
      </c>
      <c r="C77" s="29" t="n">
        <v>48911</v>
      </c>
      <c r="D77" s="30" t="n">
        <v>43330</v>
      </c>
      <c r="E77" s="30" t="n">
        <v>21725</v>
      </c>
      <c r="F77" s="31" t="n">
        <f aca="false">SUM(E77/D77)</f>
        <v>0.501384721901685</v>
      </c>
      <c r="G77" s="31" t="str">
        <f aca="false">IF(F77&gt;69%, "GOOD", "POOR")</f>
        <v>POOR</v>
      </c>
      <c r="H77" s="32" t="n">
        <v>4.6</v>
      </c>
      <c r="I77" s="32" t="n">
        <v>215</v>
      </c>
      <c r="J77" s="32" t="str">
        <f aca="false" t="array" ref="J77:J77">_xlfn.IFS(I77&gt;299,"High HP",I77&gt;99,"Medium HP",I77&lt;100,"Low HP")</f>
        <v>Medium HP</v>
      </c>
      <c r="K77" s="32" t="s">
        <v>42</v>
      </c>
      <c r="L77" s="32" t="n">
        <v>21</v>
      </c>
      <c r="M77" s="32" t="n">
        <v>93.9579169</v>
      </c>
      <c r="N77" s="32" t="n">
        <v>117.7</v>
      </c>
      <c r="O77" s="32" t="n">
        <v>78.2</v>
      </c>
      <c r="P77" s="32" t="n">
        <v>215.3</v>
      </c>
      <c r="Q77" s="32" t="n">
        <v>4.121</v>
      </c>
      <c r="R77" s="32" t="n">
        <v>19</v>
      </c>
      <c r="S77" s="33" t="n">
        <v>41064</v>
      </c>
    </row>
    <row r="78" customFormat="false" ht="16.15" hidden="false" customHeight="false" outlineLevel="0" collapsed="false">
      <c r="A78" s="27" t="s">
        <v>128</v>
      </c>
      <c r="B78" s="28" t="s">
        <v>131</v>
      </c>
      <c r="C78" s="29" t="n">
        <v>22925</v>
      </c>
      <c r="D78" s="30" t="n">
        <v>42660</v>
      </c>
      <c r="E78" s="30" t="n">
        <v>20765</v>
      </c>
      <c r="F78" s="31" t="n">
        <f aca="false">SUM(E78/D78)</f>
        <v>0.486755743084857</v>
      </c>
      <c r="G78" s="31" t="str">
        <f aca="false">IF(F78&gt;69%, "GOOD", "POOR")</f>
        <v>POOR</v>
      </c>
      <c r="H78" s="32" t="n">
        <v>5.4</v>
      </c>
      <c r="I78" s="32" t="n">
        <v>300</v>
      </c>
      <c r="J78" s="32" t="str">
        <f aca="false" t="array" ref="J78:J78">_xlfn.IFS(I78&gt;299,"High HP",I78&gt;99,"Medium HP",I78&lt;100,"Low HP")</f>
        <v>High HP</v>
      </c>
      <c r="K78" s="32" t="s">
        <v>64</v>
      </c>
      <c r="L78" s="32" t="n">
        <v>15</v>
      </c>
      <c r="M78" s="32" t="n">
        <v>123.9720467</v>
      </c>
      <c r="N78" s="32" t="n">
        <v>119</v>
      </c>
      <c r="O78" s="32" t="n">
        <v>79.9</v>
      </c>
      <c r="P78" s="32" t="n">
        <v>204.8</v>
      </c>
      <c r="Q78" s="32" t="n">
        <v>5.393</v>
      </c>
      <c r="R78" s="32" t="n">
        <v>30</v>
      </c>
      <c r="S78" s="33" t="n">
        <v>41266</v>
      </c>
    </row>
    <row r="79" customFormat="false" ht="16.15" hidden="false" customHeight="false" outlineLevel="0" collapsed="false">
      <c r="A79" s="27" t="s">
        <v>6</v>
      </c>
      <c r="B79" s="28" t="s">
        <v>132</v>
      </c>
      <c r="C79" s="29" t="n">
        <v>26232</v>
      </c>
      <c r="D79" s="30" t="n">
        <v>13987</v>
      </c>
      <c r="E79" s="30" t="n">
        <v>8325</v>
      </c>
      <c r="F79" s="31" t="n">
        <f aca="false">SUM(E79/D79)</f>
        <v>0.595195538714521</v>
      </c>
      <c r="G79" s="31" t="str">
        <f aca="false">IF(F79&gt;69%, "GOOD", "POOR")</f>
        <v>POOR</v>
      </c>
      <c r="H79" s="32" t="n">
        <v>1.8</v>
      </c>
      <c r="I79" s="32" t="n">
        <v>113</v>
      </c>
      <c r="J79" s="32" t="str">
        <f aca="false" t="array" ref="J79:J79">_xlfn.IFS(I79&gt;299,"High HP",I79&gt;99,"Medium HP",I79&lt;100,"Low HP")</f>
        <v>Medium HP</v>
      </c>
      <c r="K79" s="32" t="s">
        <v>42</v>
      </c>
      <c r="L79" s="32" t="n">
        <v>30</v>
      </c>
      <c r="M79" s="32" t="n">
        <v>45.83218056</v>
      </c>
      <c r="N79" s="32" t="n">
        <v>98.4</v>
      </c>
      <c r="O79" s="32" t="n">
        <v>66.5</v>
      </c>
      <c r="P79" s="32" t="n">
        <v>173.6</v>
      </c>
      <c r="Q79" s="32" t="n">
        <v>2.25</v>
      </c>
      <c r="R79" s="32" t="n">
        <v>13.2</v>
      </c>
      <c r="S79" s="33" t="n">
        <v>41022</v>
      </c>
    </row>
    <row r="80" customFormat="false" ht="16.15" hidden="false" customHeight="false" outlineLevel="0" collapsed="false">
      <c r="A80" s="27" t="s">
        <v>6</v>
      </c>
      <c r="B80" s="28" t="s">
        <v>133</v>
      </c>
      <c r="C80" s="29" t="n">
        <v>42541</v>
      </c>
      <c r="D80" s="30" t="n">
        <v>19047</v>
      </c>
      <c r="E80" s="30" t="n">
        <v>10395</v>
      </c>
      <c r="F80" s="31" t="n">
        <f aca="false">SUM(E80/D80)</f>
        <v>0.545755237045204</v>
      </c>
      <c r="G80" s="31" t="str">
        <f aca="false">IF(F80&gt;69%, "GOOD", "POOR")</f>
        <v>POOR</v>
      </c>
      <c r="H80" s="32" t="n">
        <v>2.4</v>
      </c>
      <c r="I80" s="32" t="n">
        <v>154</v>
      </c>
      <c r="J80" s="32" t="str">
        <f aca="false" t="array" ref="J80:J80">_xlfn.IFS(I80&gt;299,"High HP",I80&gt;99,"Medium HP",I80&lt;100,"Low HP")</f>
        <v>Medium HP</v>
      </c>
      <c r="K80" s="32" t="s">
        <v>42</v>
      </c>
      <c r="L80" s="32" t="n">
        <v>24</v>
      </c>
      <c r="M80" s="32" t="n">
        <v>62.44196235</v>
      </c>
      <c r="N80" s="32" t="n">
        <v>100.8</v>
      </c>
      <c r="O80" s="32" t="n">
        <v>68.9</v>
      </c>
      <c r="P80" s="32" t="n">
        <v>175.4</v>
      </c>
      <c r="Q80" s="32" t="n">
        <v>2.91</v>
      </c>
      <c r="R80" s="32" t="n">
        <v>15.9</v>
      </c>
      <c r="S80" s="33" t="n">
        <v>41237</v>
      </c>
    </row>
    <row r="81" customFormat="false" ht="16.15" hidden="false" customHeight="false" outlineLevel="0" collapsed="false">
      <c r="A81" s="27" t="s">
        <v>6</v>
      </c>
      <c r="B81" s="28" t="s">
        <v>134</v>
      </c>
      <c r="C81" s="29" t="n">
        <v>55616</v>
      </c>
      <c r="D81" s="30" t="n">
        <v>17357</v>
      </c>
      <c r="E81" s="30" t="n">
        <v>10595</v>
      </c>
      <c r="F81" s="31" t="n">
        <f aca="false">SUM(E81/D81)</f>
        <v>0.610416546638244</v>
      </c>
      <c r="G81" s="31" t="str">
        <f aca="false">IF(F81&gt;69%, "GOOD", "POOR")</f>
        <v>POOR</v>
      </c>
      <c r="H81" s="32" t="n">
        <v>2.4</v>
      </c>
      <c r="I81" s="32" t="n">
        <v>145</v>
      </c>
      <c r="J81" s="32" t="str">
        <f aca="false" t="array" ref="J81:J81">_xlfn.IFS(I81&gt;299,"High HP",I81&gt;99,"Medium HP",I81&lt;100,"Low HP")</f>
        <v>Medium HP</v>
      </c>
      <c r="K81" s="32" t="s">
        <v>42</v>
      </c>
      <c r="L81" s="32" t="n">
        <v>25</v>
      </c>
      <c r="M81" s="32" t="n">
        <v>58.60677292</v>
      </c>
      <c r="N81" s="32" t="n">
        <v>103.7</v>
      </c>
      <c r="O81" s="32" t="n">
        <v>68.5</v>
      </c>
      <c r="P81" s="32" t="n">
        <v>187.8</v>
      </c>
      <c r="Q81" s="32" t="n">
        <v>2.945</v>
      </c>
      <c r="R81" s="32" t="n">
        <v>16.3</v>
      </c>
      <c r="S81" s="33" t="n">
        <v>40937</v>
      </c>
    </row>
    <row r="82" customFormat="false" ht="16.15" hidden="false" customHeight="false" outlineLevel="0" collapsed="false">
      <c r="A82" s="27" t="s">
        <v>6</v>
      </c>
      <c r="B82" s="28" t="s">
        <v>135</v>
      </c>
      <c r="C82" s="29" t="n">
        <v>5711</v>
      </c>
      <c r="D82" s="30" t="n">
        <v>24997</v>
      </c>
      <c r="E82" s="30" t="n">
        <v>16575</v>
      </c>
      <c r="F82" s="31" t="n">
        <f aca="false">SUM(E82/D82)</f>
        <v>0.663079569548346</v>
      </c>
      <c r="G82" s="31" t="str">
        <f aca="false">IF(F82&gt;69%, "GOOD", "POOR")</f>
        <v>POOR</v>
      </c>
      <c r="H82" s="32" t="n">
        <v>3.5</v>
      </c>
      <c r="I82" s="32" t="n">
        <v>210</v>
      </c>
      <c r="J82" s="32" t="str">
        <f aca="false" t="array" ref="J82:J82">_xlfn.IFS(I82&gt;299,"High HP",I82&gt;99,"Medium HP",I82&lt;100,"Low HP")</f>
        <v>Medium HP</v>
      </c>
      <c r="K82" s="32" t="s">
        <v>42</v>
      </c>
      <c r="L82" s="32" t="n">
        <v>22</v>
      </c>
      <c r="M82" s="32" t="n">
        <v>84.83077858</v>
      </c>
      <c r="N82" s="32" t="n">
        <v>107.1</v>
      </c>
      <c r="O82" s="32" t="n">
        <v>70.3</v>
      </c>
      <c r="P82" s="32" t="n">
        <v>194.1</v>
      </c>
      <c r="Q82" s="32" t="n">
        <v>3.443</v>
      </c>
      <c r="R82" s="32" t="n">
        <v>19</v>
      </c>
      <c r="S82" s="33" t="n">
        <v>41149</v>
      </c>
    </row>
    <row r="83" customFormat="false" ht="16.15" hidden="false" customHeight="false" outlineLevel="0" collapsed="false">
      <c r="A83" s="27" t="s">
        <v>6</v>
      </c>
      <c r="B83" s="28" t="s">
        <v>136</v>
      </c>
      <c r="C83" s="29" t="n">
        <v>110</v>
      </c>
      <c r="D83" s="30" t="n">
        <v>25450</v>
      </c>
      <c r="E83" s="30" t="n">
        <v>20940</v>
      </c>
      <c r="F83" s="31" t="n">
        <f aca="false">SUM(E83/D83)</f>
        <v>0.82278978388998</v>
      </c>
      <c r="G83" s="31" t="str">
        <f aca="false">IF(F83&gt;69%, "GOOD", "POOR")</f>
        <v>GOOD</v>
      </c>
      <c r="H83" s="32" t="n">
        <v>3</v>
      </c>
      <c r="I83" s="32" t="n">
        <v>161</v>
      </c>
      <c r="J83" s="32" t="str">
        <f aca="false" t="array" ref="J83:J83">_xlfn.IFS(I83&gt;299,"High HP",I83&gt;99,"Medium HP",I83&lt;100,"Low HP")</f>
        <v>Medium HP</v>
      </c>
      <c r="K83" s="32" t="s">
        <v>42</v>
      </c>
      <c r="L83" s="32" t="n">
        <v>21</v>
      </c>
      <c r="M83" s="32" t="n">
        <v>67.54415494</v>
      </c>
      <c r="N83" s="32" t="n">
        <v>97.2</v>
      </c>
      <c r="O83" s="32" t="n">
        <v>72.4</v>
      </c>
      <c r="P83" s="32" t="n">
        <v>180.3</v>
      </c>
      <c r="Q83" s="32" t="n">
        <v>3.131</v>
      </c>
      <c r="R83" s="32" t="n">
        <v>19.8</v>
      </c>
      <c r="S83" s="33" t="n">
        <v>41089</v>
      </c>
    </row>
    <row r="84" customFormat="false" ht="16.15" hidden="false" customHeight="false" outlineLevel="0" collapsed="false">
      <c r="A84" s="27" t="s">
        <v>6</v>
      </c>
      <c r="B84" s="28" t="s">
        <v>137</v>
      </c>
      <c r="C84" s="29" t="n">
        <v>11337</v>
      </c>
      <c r="D84" s="30" t="n">
        <v>31807</v>
      </c>
      <c r="E84" s="30" t="n">
        <v>19125</v>
      </c>
      <c r="F84" s="31" t="n">
        <f aca="false">SUM(E84/D84)</f>
        <v>0.601282736504543</v>
      </c>
      <c r="G84" s="31" t="str">
        <f aca="false">IF(F84&gt;69%, "GOOD", "POOR")</f>
        <v>POOR</v>
      </c>
      <c r="H84" s="32" t="n">
        <v>3.5</v>
      </c>
      <c r="I84" s="32" t="n">
        <v>200</v>
      </c>
      <c r="J84" s="32" t="str">
        <f aca="false" t="array" ref="J84:J84">_xlfn.IFS(I84&gt;299,"High HP",I84&gt;99,"Medium HP",I84&lt;100,"Low HP")</f>
        <v>Medium HP</v>
      </c>
      <c r="K84" s="32" t="s">
        <v>64</v>
      </c>
      <c r="L84" s="32" t="n">
        <v>18</v>
      </c>
      <c r="M84" s="32" t="n">
        <v>83.92081504</v>
      </c>
      <c r="N84" s="32" t="n">
        <v>107.3</v>
      </c>
      <c r="O84" s="32" t="n">
        <v>69.9</v>
      </c>
      <c r="P84" s="32" t="n">
        <v>186.6</v>
      </c>
      <c r="Q84" s="32" t="n">
        <v>4.52</v>
      </c>
      <c r="R84" s="32" t="n">
        <v>24.3</v>
      </c>
      <c r="S84" s="33" t="n">
        <v>40925</v>
      </c>
    </row>
    <row r="85" customFormat="false" ht="16.15" hidden="false" customHeight="false" outlineLevel="0" collapsed="false">
      <c r="A85" s="27" t="s">
        <v>6</v>
      </c>
      <c r="B85" s="28" t="s">
        <v>138</v>
      </c>
      <c r="C85" s="29" t="n">
        <v>39348</v>
      </c>
      <c r="D85" s="30" t="n">
        <v>22527</v>
      </c>
      <c r="E85" s="30" t="n">
        <v>13880</v>
      </c>
      <c r="F85" s="31" t="n">
        <f aca="false">SUM(E85/D85)</f>
        <v>0.616149509477516</v>
      </c>
      <c r="G85" s="31" t="str">
        <f aca="false">IF(F85&gt;69%, "GOOD", "POOR")</f>
        <v>POOR</v>
      </c>
      <c r="H85" s="32" t="n">
        <v>3</v>
      </c>
      <c r="I85" s="32" t="n">
        <v>173</v>
      </c>
      <c r="J85" s="32" t="str">
        <f aca="false" t="array" ref="J85:J85">_xlfn.IFS(I85&gt;299,"High HP",I85&gt;99,"Medium HP",I85&lt;100,"Low HP")</f>
        <v>Medium HP</v>
      </c>
      <c r="K85" s="32" t="s">
        <v>64</v>
      </c>
      <c r="L85" s="32" t="n">
        <v>20</v>
      </c>
      <c r="M85" s="32" t="n">
        <v>70.66094179</v>
      </c>
      <c r="N85" s="32" t="n">
        <v>107.3</v>
      </c>
      <c r="O85" s="32" t="n">
        <v>66.7</v>
      </c>
      <c r="P85" s="32" t="n">
        <v>178.3</v>
      </c>
      <c r="Q85" s="32" t="n">
        <v>3.51</v>
      </c>
      <c r="R85" s="32" t="n">
        <v>19.5</v>
      </c>
      <c r="S85" s="33" t="n">
        <v>41047</v>
      </c>
    </row>
    <row r="86" customFormat="false" ht="16.15" hidden="false" customHeight="false" outlineLevel="0" collapsed="false">
      <c r="A86" s="27" t="s">
        <v>139</v>
      </c>
      <c r="B86" s="28" t="s">
        <v>140</v>
      </c>
      <c r="C86" s="29" t="n">
        <v>14351</v>
      </c>
      <c r="D86" s="30" t="n">
        <v>16240</v>
      </c>
      <c r="E86" s="30" t="n">
        <v>8800</v>
      </c>
      <c r="F86" s="31" t="n">
        <f aca="false">SUM(E86/D86)</f>
        <v>0.541871921182266</v>
      </c>
      <c r="G86" s="31" t="str">
        <f aca="false">IF(F86&gt;69%, "GOOD", "POOR")</f>
        <v>POOR</v>
      </c>
      <c r="H86" s="32" t="n">
        <v>2</v>
      </c>
      <c r="I86" s="32" t="n">
        <v>125</v>
      </c>
      <c r="J86" s="32" t="str">
        <f aca="false" t="array" ref="J86:J86">_xlfn.IFS(I86&gt;299,"High HP",I86&gt;99,"Medium HP",I86&lt;100,"Low HP")</f>
        <v>Medium HP</v>
      </c>
      <c r="K86" s="32" t="s">
        <v>42</v>
      </c>
      <c r="L86" s="32" t="n">
        <v>28</v>
      </c>
      <c r="M86" s="32" t="n">
        <v>50.99774761</v>
      </c>
      <c r="N86" s="32" t="n">
        <v>106.5</v>
      </c>
      <c r="O86" s="32" t="n">
        <v>69.1</v>
      </c>
      <c r="P86" s="32" t="n">
        <v>184.8</v>
      </c>
      <c r="Q86" s="32" t="n">
        <v>2.769</v>
      </c>
      <c r="R86" s="32" t="n">
        <v>15</v>
      </c>
      <c r="S86" s="33" t="n">
        <v>41262</v>
      </c>
    </row>
    <row r="87" customFormat="false" ht="16.15" hidden="false" customHeight="false" outlineLevel="0" collapsed="false">
      <c r="A87" s="27" t="s">
        <v>139</v>
      </c>
      <c r="B87" s="28" t="s">
        <v>141</v>
      </c>
      <c r="C87" s="29" t="n">
        <v>26529</v>
      </c>
      <c r="D87" s="30" t="n">
        <v>16540</v>
      </c>
      <c r="E87" s="30" t="n">
        <v>13890</v>
      </c>
      <c r="F87" s="31" t="n">
        <f aca="false">SUM(E87/D87)</f>
        <v>0.839782345828295</v>
      </c>
      <c r="G87" s="31" t="str">
        <f aca="false">IF(F87&gt;69%, "GOOD", "POOR")</f>
        <v>GOOD</v>
      </c>
      <c r="H87" s="32" t="n">
        <v>2</v>
      </c>
      <c r="I87" s="32" t="n">
        <v>125</v>
      </c>
      <c r="J87" s="32" t="str">
        <f aca="false" t="array" ref="J87:J87">_xlfn.IFS(I87&gt;299,"High HP",I87&gt;99,"Medium HP",I87&lt;100,"Low HP")</f>
        <v>Medium HP</v>
      </c>
      <c r="K87" s="32" t="s">
        <v>42</v>
      </c>
      <c r="L87" s="32" t="n">
        <v>30</v>
      </c>
      <c r="M87" s="32" t="n">
        <v>51.11347426</v>
      </c>
      <c r="N87" s="32" t="n">
        <v>106.4</v>
      </c>
      <c r="O87" s="32" t="n">
        <v>69.6</v>
      </c>
      <c r="P87" s="32" t="n">
        <v>185</v>
      </c>
      <c r="Q87" s="32" t="n">
        <v>2.892</v>
      </c>
      <c r="R87" s="32" t="n">
        <v>16</v>
      </c>
      <c r="S87" s="33" t="n">
        <v>40962</v>
      </c>
    </row>
    <row r="88" customFormat="false" ht="16.15" hidden="false" customHeight="false" outlineLevel="0" collapsed="false">
      <c r="A88" s="27" t="s">
        <v>139</v>
      </c>
      <c r="B88" s="28" t="s">
        <v>142</v>
      </c>
      <c r="C88" s="29" t="n">
        <v>67956</v>
      </c>
      <c r="D88" s="30" t="n">
        <v>19035</v>
      </c>
      <c r="E88" s="30" t="n">
        <v>11030</v>
      </c>
      <c r="F88" s="31" t="n">
        <f aca="false">SUM(E88/D88)</f>
        <v>0.579458891515629</v>
      </c>
      <c r="G88" s="31" t="str">
        <f aca="false">IF(F88&gt;69%, "GOOD", "POOR")</f>
        <v>POOR</v>
      </c>
      <c r="H88" s="32" t="n">
        <v>3</v>
      </c>
      <c r="I88" s="32" t="n">
        <v>153</v>
      </c>
      <c r="J88" s="32" t="str">
        <f aca="false" t="array" ref="J88:J88">_xlfn.IFS(I88&gt;299,"High HP",I88&gt;99,"Medium HP",I88&lt;100,"Low HP")</f>
        <v>Medium HP</v>
      </c>
      <c r="K88" s="32" t="s">
        <v>42</v>
      </c>
      <c r="L88" s="32" t="n">
        <v>24</v>
      </c>
      <c r="M88" s="32" t="n">
        <v>62.23996663</v>
      </c>
      <c r="N88" s="32" t="n">
        <v>108.5</v>
      </c>
      <c r="O88" s="32" t="n">
        <v>73</v>
      </c>
      <c r="P88" s="32" t="n">
        <v>199.7</v>
      </c>
      <c r="Q88" s="32" t="n">
        <v>3.379</v>
      </c>
      <c r="R88" s="32" t="n">
        <v>16</v>
      </c>
      <c r="S88" s="33" t="n">
        <v>41174</v>
      </c>
    </row>
    <row r="89" customFormat="false" ht="16.15" hidden="false" customHeight="false" outlineLevel="0" collapsed="false">
      <c r="A89" s="27" t="s">
        <v>139</v>
      </c>
      <c r="B89" s="28" t="s">
        <v>143</v>
      </c>
      <c r="C89" s="29" t="n">
        <v>81174</v>
      </c>
      <c r="D89" s="30" t="n">
        <v>22605</v>
      </c>
      <c r="E89" s="30" t="n">
        <v>14875</v>
      </c>
      <c r="F89" s="31" t="n">
        <f aca="false">SUM(E89/D89)</f>
        <v>0.658040256580403</v>
      </c>
      <c r="G89" s="31" t="str">
        <f aca="false">IF(F89&gt;69%, "GOOD", "POOR")</f>
        <v>POOR</v>
      </c>
      <c r="H89" s="32" t="n">
        <v>4.6</v>
      </c>
      <c r="I89" s="32" t="n">
        <v>200</v>
      </c>
      <c r="J89" s="32" t="str">
        <f aca="false" t="array" ref="J89:J89">_xlfn.IFS(I89&gt;299,"High HP",I89&gt;99,"Medium HP",I89&lt;100,"Low HP")</f>
        <v>Medium HP</v>
      </c>
      <c r="K89" s="32" t="s">
        <v>42</v>
      </c>
      <c r="L89" s="32" t="n">
        <v>21</v>
      </c>
      <c r="M89" s="32" t="n">
        <v>80.65769646</v>
      </c>
      <c r="N89" s="32" t="n">
        <v>114.7</v>
      </c>
      <c r="O89" s="32" t="n">
        <v>78.2</v>
      </c>
      <c r="P89" s="32" t="n">
        <v>212</v>
      </c>
      <c r="Q89" s="32" t="n">
        <v>3.958</v>
      </c>
      <c r="R89" s="32" t="n">
        <v>19</v>
      </c>
      <c r="S89" s="33" t="n">
        <v>41114</v>
      </c>
    </row>
    <row r="90" customFormat="false" ht="16.15" hidden="false" customHeight="false" outlineLevel="0" collapsed="false">
      <c r="A90" s="27" t="s">
        <v>139</v>
      </c>
      <c r="B90" s="28" t="s">
        <v>144</v>
      </c>
      <c r="C90" s="29" t="n">
        <v>27609</v>
      </c>
      <c r="D90" s="30" t="n">
        <v>27560</v>
      </c>
      <c r="E90" s="30" t="n">
        <v>20430</v>
      </c>
      <c r="F90" s="31" t="n">
        <f aca="false">SUM(E90/D90)</f>
        <v>0.741291727140784</v>
      </c>
      <c r="G90" s="31" t="str">
        <f aca="false">IF(F90&gt;69%, "GOOD", "POOR")</f>
        <v>GOOD</v>
      </c>
      <c r="H90" s="32" t="n">
        <v>4</v>
      </c>
      <c r="I90" s="32" t="n">
        <v>210</v>
      </c>
      <c r="J90" s="32" t="str">
        <f aca="false" t="array" ref="J90:J90">_xlfn.IFS(I90&gt;299,"High HP",I90&gt;99,"Medium HP",I90&lt;100,"Low HP")</f>
        <v>Medium HP</v>
      </c>
      <c r="K90" s="32" t="s">
        <v>64</v>
      </c>
      <c r="L90" s="32" t="n">
        <v>18</v>
      </c>
      <c r="M90" s="32" t="n">
        <v>85.94974425</v>
      </c>
      <c r="N90" s="32" t="n">
        <v>111.6</v>
      </c>
      <c r="O90" s="32" t="n">
        <v>70.2</v>
      </c>
      <c r="P90" s="32" t="n">
        <v>190.1</v>
      </c>
      <c r="Q90" s="32" t="n">
        <v>3.876</v>
      </c>
      <c r="R90" s="32" t="n">
        <v>21</v>
      </c>
      <c r="S90" s="33" t="n">
        <v>39491</v>
      </c>
    </row>
    <row r="91" customFormat="false" ht="16.15" hidden="false" customHeight="false" outlineLevel="0" collapsed="false">
      <c r="A91" s="27" t="s">
        <v>139</v>
      </c>
      <c r="B91" s="28" t="s">
        <v>145</v>
      </c>
      <c r="C91" s="29" t="n">
        <v>20380</v>
      </c>
      <c r="D91" s="30" t="n">
        <v>22510</v>
      </c>
      <c r="E91" s="30" t="n">
        <v>14795</v>
      </c>
      <c r="F91" s="31" t="n">
        <f aca="false">SUM(E91/D91)</f>
        <v>0.65726343847179</v>
      </c>
      <c r="G91" s="31" t="str">
        <f aca="false">IF(F91&gt;69%, "GOOD", "POOR")</f>
        <v>POOR</v>
      </c>
      <c r="H91" s="32" t="n">
        <v>3.3</v>
      </c>
      <c r="I91" s="32" t="n">
        <v>170</v>
      </c>
      <c r="J91" s="32" t="str">
        <f aca="false" t="array" ref="J91:J91">_xlfn.IFS(I91&gt;299,"High HP",I91&gt;99,"Medium HP",I91&lt;100,"Low HP")</f>
        <v>Medium HP</v>
      </c>
      <c r="K91" s="32" t="s">
        <v>64</v>
      </c>
      <c r="L91" s="32" t="n">
        <v>21</v>
      </c>
      <c r="M91" s="32" t="n">
        <v>69.671461</v>
      </c>
      <c r="N91" s="32" t="n">
        <v>112.2</v>
      </c>
      <c r="O91" s="32" t="n">
        <v>74.9</v>
      </c>
      <c r="P91" s="32" t="n">
        <v>194.7</v>
      </c>
      <c r="Q91" s="32" t="n">
        <v>3.944</v>
      </c>
      <c r="R91" s="32" t="n">
        <v>20</v>
      </c>
      <c r="S91" s="33" t="n">
        <v>40106</v>
      </c>
    </row>
    <row r="92" customFormat="false" ht="16.15" hidden="false" customHeight="false" outlineLevel="0" collapsed="false">
      <c r="A92" s="27" t="s">
        <v>146</v>
      </c>
      <c r="B92" s="28" t="s">
        <v>147</v>
      </c>
      <c r="C92" s="29" t="n">
        <v>18392</v>
      </c>
      <c r="D92" s="30" t="n">
        <v>31750</v>
      </c>
      <c r="E92" s="30" t="n">
        <v>26050</v>
      </c>
      <c r="F92" s="31" t="n">
        <f aca="false">SUM(E92/D92)</f>
        <v>0.820472440944882</v>
      </c>
      <c r="G92" s="31" t="str">
        <f aca="false">IF(F92&gt;69%, "GOOD", "POOR")</f>
        <v>GOOD</v>
      </c>
      <c r="H92" s="32" t="n">
        <v>2.3</v>
      </c>
      <c r="I92" s="32" t="n">
        <v>185</v>
      </c>
      <c r="J92" s="32" t="str">
        <f aca="false" t="array" ref="J92:J92">_xlfn.IFS(I92&gt;299,"High HP",I92&gt;99,"Medium HP",I92&lt;100,"Low HP")</f>
        <v>Medium HP</v>
      </c>
      <c r="K92" s="32" t="s">
        <v>42</v>
      </c>
      <c r="L92" s="32" t="n">
        <v>26</v>
      </c>
      <c r="M92" s="32" t="n">
        <v>78.28073088</v>
      </c>
      <c r="N92" s="32" t="n">
        <v>105.9</v>
      </c>
      <c r="O92" s="32" t="n">
        <v>67.7</v>
      </c>
      <c r="P92" s="32" t="n">
        <v>177.4</v>
      </c>
      <c r="Q92" s="32" t="n">
        <v>3.25</v>
      </c>
      <c r="R92" s="32" t="n">
        <v>16.4</v>
      </c>
      <c r="S92" s="33" t="n">
        <v>40657</v>
      </c>
    </row>
    <row r="93" customFormat="false" ht="16.15" hidden="false" customHeight="false" outlineLevel="0" collapsed="false">
      <c r="A93" s="27" t="s">
        <v>146</v>
      </c>
      <c r="B93" s="28" t="s">
        <v>148</v>
      </c>
      <c r="C93" s="29" t="n">
        <v>27602</v>
      </c>
      <c r="D93" s="30" t="n">
        <v>49900</v>
      </c>
      <c r="E93" s="30" t="n">
        <v>41450</v>
      </c>
      <c r="F93" s="31" t="n">
        <f aca="false">SUM(E93/D93)</f>
        <v>0.830661322645291</v>
      </c>
      <c r="G93" s="31" t="str">
        <f aca="false">IF(F93&gt;69%, "GOOD", "POOR")</f>
        <v>GOOD</v>
      </c>
      <c r="H93" s="32" t="n">
        <v>3.2</v>
      </c>
      <c r="I93" s="32" t="n">
        <v>221</v>
      </c>
      <c r="J93" s="32" t="str">
        <f aca="false" t="array" ref="J93:J93">_xlfn.IFS(I93&gt;299,"High HP",I93&gt;99,"Medium HP",I93&lt;100,"Low HP")</f>
        <v>Medium HP</v>
      </c>
      <c r="K93" s="32" t="s">
        <v>42</v>
      </c>
      <c r="L93" s="32" t="n">
        <v>25</v>
      </c>
      <c r="M93" s="32" t="n">
        <v>98.2497375</v>
      </c>
      <c r="N93" s="32" t="n">
        <v>111.5</v>
      </c>
      <c r="O93" s="32" t="n">
        <v>70.8</v>
      </c>
      <c r="P93" s="32" t="n">
        <v>189.4</v>
      </c>
      <c r="Q93" s="32" t="n">
        <v>3.823</v>
      </c>
      <c r="R93" s="32" t="n">
        <v>21.1</v>
      </c>
      <c r="S93" s="33" t="n">
        <v>40736</v>
      </c>
    </row>
    <row r="94" customFormat="false" ht="16.15" hidden="false" customHeight="false" outlineLevel="0" collapsed="false">
      <c r="A94" s="27" t="s">
        <v>146</v>
      </c>
      <c r="B94" s="28" t="s">
        <v>149</v>
      </c>
      <c r="C94" s="29" t="n">
        <v>16774</v>
      </c>
      <c r="D94" s="30" t="n">
        <v>69700</v>
      </c>
      <c r="E94" s="30" t="n">
        <v>50375</v>
      </c>
      <c r="F94" s="31" t="n">
        <f aca="false">SUM(E94/D94)</f>
        <v>0.722740315638451</v>
      </c>
      <c r="G94" s="31" t="str">
        <f aca="false">IF(F94&gt;69%, "GOOD", "POOR")</f>
        <v>GOOD</v>
      </c>
      <c r="H94" s="32" t="n">
        <v>4.3</v>
      </c>
      <c r="I94" s="32" t="n">
        <v>275</v>
      </c>
      <c r="J94" s="32" t="str">
        <f aca="false" t="array" ref="J94:J94">_xlfn.IFS(I94&gt;299,"High HP",I94&gt;99,"Medium HP",I94&lt;100,"Low HP")</f>
        <v>Medium HP</v>
      </c>
      <c r="K94" s="32" t="s">
        <v>42</v>
      </c>
      <c r="L94" s="32" t="n">
        <v>21</v>
      </c>
      <c r="M94" s="32" t="n">
        <v>125.2738757</v>
      </c>
      <c r="N94" s="32" t="n">
        <v>121.5</v>
      </c>
      <c r="O94" s="32" t="n">
        <v>73.1</v>
      </c>
      <c r="P94" s="32" t="n">
        <v>203.1</v>
      </c>
      <c r="Q94" s="32" t="n">
        <v>4.133</v>
      </c>
      <c r="R94" s="32" t="n">
        <v>23.2</v>
      </c>
      <c r="S94" s="33" t="n">
        <v>40707</v>
      </c>
    </row>
    <row r="95" customFormat="false" ht="16.15" hidden="false" customHeight="false" outlineLevel="0" collapsed="false">
      <c r="A95" s="27" t="s">
        <v>146</v>
      </c>
      <c r="B95" s="28" t="s">
        <v>150</v>
      </c>
      <c r="C95" s="29" t="n">
        <v>3311</v>
      </c>
      <c r="D95" s="30" t="n">
        <v>82600</v>
      </c>
      <c r="E95" s="30" t="n">
        <v>58600</v>
      </c>
      <c r="F95" s="31" t="n">
        <f aca="false">SUM(E95/D95)</f>
        <v>0.709443099273608</v>
      </c>
      <c r="G95" s="31" t="str">
        <f aca="false">IF(F95&gt;69%, "GOOD", "POOR")</f>
        <v>GOOD</v>
      </c>
      <c r="H95" s="32" t="n">
        <v>5</v>
      </c>
      <c r="I95" s="32" t="n">
        <v>302</v>
      </c>
      <c r="J95" s="32" t="str">
        <f aca="false" t="array" ref="J95:J95">_xlfn.IFS(I95&gt;299,"High HP",I95&gt;99,"Medium HP",I95&lt;100,"Low HP")</f>
        <v>High HP</v>
      </c>
      <c r="K95" s="32" t="s">
        <v>42</v>
      </c>
      <c r="L95" s="32" t="n">
        <v>20</v>
      </c>
      <c r="M95" s="32" t="n">
        <v>139.9822936</v>
      </c>
      <c r="N95" s="32" t="n">
        <v>99</v>
      </c>
      <c r="O95" s="32" t="n">
        <v>71.3</v>
      </c>
      <c r="P95" s="32" t="n">
        <v>177.1</v>
      </c>
      <c r="Q95" s="32" t="n">
        <v>4.125</v>
      </c>
      <c r="R95" s="32" t="n">
        <v>21.1</v>
      </c>
      <c r="S95" s="33" t="n">
        <v>40619</v>
      </c>
    </row>
    <row r="96" customFormat="false" ht="16.15" hidden="false" customHeight="false" outlineLevel="0" collapsed="false">
      <c r="A96" s="27" t="s">
        <v>146</v>
      </c>
      <c r="B96" s="28" t="s">
        <v>151</v>
      </c>
      <c r="C96" s="29" t="n">
        <v>7998</v>
      </c>
      <c r="D96" s="30" t="n">
        <v>38900</v>
      </c>
      <c r="E96" s="30" t="n">
        <v>32436</v>
      </c>
      <c r="F96" s="31" t="n">
        <f aca="false">SUM(E96/D96)</f>
        <v>0.833830334190231</v>
      </c>
      <c r="G96" s="31" t="str">
        <f aca="false">IF(F96&gt;69%, "GOOD", "POOR")</f>
        <v>GOOD</v>
      </c>
      <c r="H96" s="32" t="n">
        <v>2.3</v>
      </c>
      <c r="I96" s="32" t="n">
        <v>190</v>
      </c>
      <c r="J96" s="32" t="str">
        <f aca="false" t="array" ref="J96:J96">_xlfn.IFS(I96&gt;299,"High HP",I96&gt;99,"Medium HP",I96&lt;100,"Low HP")</f>
        <v>Medium HP</v>
      </c>
      <c r="K96" s="32" t="s">
        <v>42</v>
      </c>
      <c r="L96" s="32" t="n">
        <v>26</v>
      </c>
      <c r="M96" s="32" t="n">
        <v>82.80736193</v>
      </c>
      <c r="N96" s="32" t="n">
        <v>94.5</v>
      </c>
      <c r="O96" s="32" t="n">
        <v>67.5</v>
      </c>
      <c r="P96" s="32" t="n">
        <v>157.9</v>
      </c>
      <c r="Q96" s="32" t="n">
        <v>3.055</v>
      </c>
      <c r="R96" s="32" t="n">
        <v>15.9</v>
      </c>
      <c r="S96" s="33" t="n">
        <v>40559</v>
      </c>
    </row>
    <row r="97" customFormat="false" ht="16.15" hidden="false" customHeight="false" outlineLevel="0" collapsed="false">
      <c r="A97" s="27" t="s">
        <v>146</v>
      </c>
      <c r="B97" s="28" t="s">
        <v>152</v>
      </c>
      <c r="C97" s="29" t="n">
        <v>1526</v>
      </c>
      <c r="D97" s="30" t="n">
        <v>41000</v>
      </c>
      <c r="E97" s="30" t="n">
        <v>28635</v>
      </c>
      <c r="F97" s="31" t="n">
        <f aca="false">SUM(E97/D97)</f>
        <v>0.698414634146341</v>
      </c>
      <c r="G97" s="31" t="str">
        <f aca="false">IF(F97&gt;69%, "GOOD", "POOR")</f>
        <v>GOOD</v>
      </c>
      <c r="H97" s="32" t="n">
        <v>2.3</v>
      </c>
      <c r="I97" s="32" t="n">
        <v>185</v>
      </c>
      <c r="J97" s="32" t="str">
        <f aca="false" t="array" ref="J97:J97">_xlfn.IFS(I97&gt;299,"High HP",I97&gt;99,"Medium HP",I97&lt;100,"Low HP")</f>
        <v>Medium HP</v>
      </c>
      <c r="K97" s="32" t="s">
        <v>42</v>
      </c>
      <c r="L97" s="32" t="n">
        <v>27</v>
      </c>
      <c r="M97" s="32" t="n">
        <v>81.84896924</v>
      </c>
      <c r="N97" s="32" t="n">
        <v>94.5</v>
      </c>
      <c r="O97" s="32" t="n">
        <v>67.5</v>
      </c>
      <c r="P97" s="32" t="n">
        <v>157.3</v>
      </c>
      <c r="Q97" s="32" t="n">
        <v>2.975</v>
      </c>
      <c r="R97" s="32" t="n">
        <v>14</v>
      </c>
      <c r="S97" s="33" t="n">
        <v>40761</v>
      </c>
    </row>
    <row r="98" customFormat="false" ht="16.15" hidden="false" customHeight="false" outlineLevel="0" collapsed="false">
      <c r="A98" s="27" t="s">
        <v>146</v>
      </c>
      <c r="B98" s="28" t="s">
        <v>153</v>
      </c>
      <c r="C98" s="29" t="n">
        <v>11592</v>
      </c>
      <c r="D98" s="30" t="n">
        <v>41600</v>
      </c>
      <c r="E98" s="30" t="n">
        <v>29200</v>
      </c>
      <c r="F98" s="31" t="n">
        <f aca="false">SUM(E98/D98)</f>
        <v>0.701923076923077</v>
      </c>
      <c r="G98" s="31" t="str">
        <f aca="false">IF(F98&gt;69%, "GOOD", "POOR")</f>
        <v>GOOD</v>
      </c>
      <c r="H98" s="32" t="n">
        <v>3.2</v>
      </c>
      <c r="I98" s="32" t="n">
        <v>215</v>
      </c>
      <c r="J98" s="32" t="str">
        <f aca="false" t="array" ref="J98:J98">_xlfn.IFS(I98&gt;299,"High HP",I98&gt;99,"Medium HP",I98&lt;100,"Low HP")</f>
        <v>Medium HP</v>
      </c>
      <c r="K98" s="32" t="s">
        <v>42</v>
      </c>
      <c r="L98" s="32" t="n">
        <v>26</v>
      </c>
      <c r="M98" s="32" t="n">
        <v>92.92579177</v>
      </c>
      <c r="N98" s="32" t="n">
        <v>105.9</v>
      </c>
      <c r="O98" s="32" t="n">
        <v>67.8</v>
      </c>
      <c r="P98" s="32" t="n">
        <v>180.3</v>
      </c>
      <c r="Q98" s="32" t="n">
        <v>3.213</v>
      </c>
      <c r="R98" s="32" t="n">
        <v>16.4</v>
      </c>
      <c r="S98" s="33" t="n">
        <v>40732</v>
      </c>
    </row>
    <row r="99" customFormat="false" ht="16.15" hidden="false" customHeight="false" outlineLevel="0" collapsed="false">
      <c r="A99" s="27" t="s">
        <v>146</v>
      </c>
      <c r="B99" s="28" t="s">
        <v>154</v>
      </c>
      <c r="C99" s="29" t="n">
        <v>954</v>
      </c>
      <c r="D99" s="30" t="n">
        <v>85500</v>
      </c>
      <c r="E99" s="30" t="n">
        <v>63423</v>
      </c>
      <c r="F99" s="31" t="n">
        <f aca="false">SUM(E99/D99)</f>
        <v>0.741789473684211</v>
      </c>
      <c r="G99" s="31" t="str">
        <f aca="false">IF(F99&gt;69%, "GOOD", "POOR")</f>
        <v>GOOD</v>
      </c>
      <c r="H99" s="32" t="n">
        <v>5</v>
      </c>
      <c r="I99" s="32" t="n">
        <v>302</v>
      </c>
      <c r="J99" s="32" t="str">
        <f aca="false" t="array" ref="J99:J99">_xlfn.IFS(I99&gt;299,"High HP",I99&gt;99,"Medium HP",I99&lt;100,"Low HP")</f>
        <v>High HP</v>
      </c>
      <c r="K99" s="32" t="s">
        <v>42</v>
      </c>
      <c r="L99" s="32" t="n">
        <v>20</v>
      </c>
      <c r="M99" s="32" t="n">
        <v>141.1009845</v>
      </c>
      <c r="N99" s="32" t="n">
        <v>113.6</v>
      </c>
      <c r="O99" s="32" t="n">
        <v>73.1</v>
      </c>
      <c r="P99" s="32" t="n">
        <v>196.6</v>
      </c>
      <c r="Q99" s="32" t="n">
        <v>4.115</v>
      </c>
      <c r="R99" s="32" t="n">
        <v>23.2</v>
      </c>
      <c r="S99" s="33" t="n">
        <v>40644</v>
      </c>
    </row>
    <row r="100" customFormat="false" ht="16.15" hidden="false" customHeight="false" outlineLevel="0" collapsed="false">
      <c r="A100" s="27" t="s">
        <v>146</v>
      </c>
      <c r="B100" s="28" t="s">
        <v>155</v>
      </c>
      <c r="C100" s="29" t="n">
        <v>28976</v>
      </c>
      <c r="D100" s="30" t="n">
        <v>35300</v>
      </c>
      <c r="E100" s="30" t="n">
        <v>28720</v>
      </c>
      <c r="F100" s="31" t="n">
        <f aca="false">SUM(E100/D100)</f>
        <v>0.813597733711048</v>
      </c>
      <c r="G100" s="31" t="str">
        <f aca="false">IF(F100&gt;69%, "GOOD", "POOR")</f>
        <v>GOOD</v>
      </c>
      <c r="H100" s="32" t="n">
        <v>3.2</v>
      </c>
      <c r="I100" s="32" t="n">
        <v>215</v>
      </c>
      <c r="J100" s="32" t="str">
        <f aca="false" t="array" ref="J100:J100">_xlfn.IFS(I100&gt;299,"High HP",I100&gt;99,"Medium HP",I100&lt;100,"Low HP")</f>
        <v>Medium HP</v>
      </c>
      <c r="K100" s="32" t="s">
        <v>64</v>
      </c>
      <c r="L100" s="32" t="n">
        <v>20</v>
      </c>
      <c r="M100" s="32" t="n">
        <v>90.49553213</v>
      </c>
      <c r="N100" s="32" t="n">
        <v>111</v>
      </c>
      <c r="O100" s="32" t="n">
        <v>72.2</v>
      </c>
      <c r="P100" s="32" t="n">
        <v>180.6</v>
      </c>
      <c r="Q100" s="32" t="n">
        <v>4.387</v>
      </c>
      <c r="R100" s="32" t="n">
        <v>19</v>
      </c>
      <c r="S100" s="33" t="n">
        <v>40584</v>
      </c>
    </row>
    <row r="101" customFormat="false" ht="16.15" hidden="false" customHeight="false" outlineLevel="0" collapsed="false">
      <c r="A101" s="27" t="s">
        <v>7</v>
      </c>
      <c r="B101" s="28" t="s">
        <v>156</v>
      </c>
      <c r="C101" s="29" t="n">
        <v>42643</v>
      </c>
      <c r="D101" s="30" t="n">
        <v>13499</v>
      </c>
      <c r="E101" s="30" t="n">
        <v>8450</v>
      </c>
      <c r="F101" s="31" t="n">
        <f aca="false">SUM(E101/D101)</f>
        <v>0.625972294244018</v>
      </c>
      <c r="G101" s="31" t="str">
        <f aca="false">IF(F101&gt;69%, "GOOD", "POOR")</f>
        <v>POOR</v>
      </c>
      <c r="H101" s="32" t="n">
        <v>1.8</v>
      </c>
      <c r="I101" s="32" t="n">
        <v>126</v>
      </c>
      <c r="J101" s="32" t="str">
        <f aca="false" t="array" ref="J101:J101">_xlfn.IFS(I101&gt;299,"High HP",I101&gt;99,"Medium HP",I101&lt;100,"Low HP")</f>
        <v>Medium HP</v>
      </c>
      <c r="K101" s="32" t="s">
        <v>42</v>
      </c>
      <c r="L101" s="32" t="n">
        <v>30</v>
      </c>
      <c r="M101" s="32" t="n">
        <v>50.24197791</v>
      </c>
      <c r="N101" s="32" t="n">
        <v>99.8</v>
      </c>
      <c r="O101" s="32" t="n">
        <v>67.3</v>
      </c>
      <c r="P101" s="32" t="n">
        <v>177.5</v>
      </c>
      <c r="Q101" s="32" t="n">
        <v>2.593</v>
      </c>
      <c r="R101" s="32" t="n">
        <v>13.2</v>
      </c>
      <c r="S101" s="33" t="n">
        <v>40786</v>
      </c>
    </row>
    <row r="102" customFormat="false" ht="16.15" hidden="false" customHeight="false" outlineLevel="0" collapsed="false">
      <c r="A102" s="27" t="s">
        <v>7</v>
      </c>
      <c r="B102" s="28" t="s">
        <v>157</v>
      </c>
      <c r="C102" s="29" t="n">
        <v>88094</v>
      </c>
      <c r="D102" s="30" t="n">
        <v>20390</v>
      </c>
      <c r="E102" s="30" t="n">
        <v>11295</v>
      </c>
      <c r="F102" s="31" t="n">
        <f aca="false">SUM(E102/D102)</f>
        <v>0.553948013732222</v>
      </c>
      <c r="G102" s="31" t="str">
        <f aca="false">IF(F102&gt;69%, "GOOD", "POOR")</f>
        <v>POOR</v>
      </c>
      <c r="H102" s="32" t="n">
        <v>2.4</v>
      </c>
      <c r="I102" s="32" t="n">
        <v>155</v>
      </c>
      <c r="J102" s="32" t="str">
        <f aca="false" t="array" ref="J102:J102">_xlfn.IFS(I102&gt;299,"High HP",I102&gt;99,"Medium HP",I102&lt;100,"Low HP")</f>
        <v>Medium HP</v>
      </c>
      <c r="K102" s="32" t="s">
        <v>42</v>
      </c>
      <c r="L102" s="32" t="n">
        <v>25</v>
      </c>
      <c r="M102" s="32" t="n">
        <v>63.31372783</v>
      </c>
      <c r="N102" s="32" t="n">
        <v>103.1</v>
      </c>
      <c r="O102" s="32" t="n">
        <v>69.1</v>
      </c>
      <c r="P102" s="32" t="n">
        <v>183.5</v>
      </c>
      <c r="Q102" s="32" t="n">
        <v>3.012</v>
      </c>
      <c r="R102" s="32" t="n">
        <v>15.9</v>
      </c>
      <c r="S102" s="33" t="n">
        <v>40757</v>
      </c>
    </row>
    <row r="103" customFormat="false" ht="16.15" hidden="false" customHeight="false" outlineLevel="0" collapsed="false">
      <c r="A103" s="27" t="s">
        <v>7</v>
      </c>
      <c r="B103" s="28" t="s">
        <v>158</v>
      </c>
      <c r="C103" s="29" t="n">
        <v>79853</v>
      </c>
      <c r="D103" s="30" t="n">
        <v>26249</v>
      </c>
      <c r="E103" s="30" t="n">
        <v>15125</v>
      </c>
      <c r="F103" s="31" t="n">
        <f aca="false">SUM(E103/D103)</f>
        <v>0.576212427140082</v>
      </c>
      <c r="G103" s="31" t="str">
        <f aca="false">IF(F103&gt;69%, "GOOD", "POOR")</f>
        <v>POOR</v>
      </c>
      <c r="H103" s="32" t="n">
        <v>3</v>
      </c>
      <c r="I103" s="32" t="n">
        <v>222</v>
      </c>
      <c r="J103" s="32" t="str">
        <f aca="false" t="array" ref="J103:J103">_xlfn.IFS(I103&gt;299,"High HP",I103&gt;99,"Medium HP",I103&lt;100,"Low HP")</f>
        <v>Medium HP</v>
      </c>
      <c r="K103" s="32" t="s">
        <v>42</v>
      </c>
      <c r="L103" s="32" t="n">
        <v>25</v>
      </c>
      <c r="M103" s="32" t="n">
        <v>89.42782031</v>
      </c>
      <c r="N103" s="32" t="n">
        <v>108.3</v>
      </c>
      <c r="O103" s="32" t="n">
        <v>70.3</v>
      </c>
      <c r="P103" s="32" t="n">
        <v>190.5</v>
      </c>
      <c r="Q103" s="32" t="n">
        <v>3.294</v>
      </c>
      <c r="R103" s="32" t="n">
        <v>18.5</v>
      </c>
      <c r="S103" s="33" t="n">
        <v>40669</v>
      </c>
    </row>
    <row r="104" customFormat="false" ht="16.15" hidden="false" customHeight="false" outlineLevel="0" collapsed="false">
      <c r="A104" s="27" t="s">
        <v>7</v>
      </c>
      <c r="B104" s="28" t="s">
        <v>159</v>
      </c>
      <c r="C104" s="29" t="n">
        <v>27308</v>
      </c>
      <c r="D104" s="30" t="n">
        <v>26399</v>
      </c>
      <c r="E104" s="30" t="n">
        <v>15380</v>
      </c>
      <c r="F104" s="31" t="n">
        <f aca="false">SUM(E104/D104)</f>
        <v>0.582597825675215</v>
      </c>
      <c r="G104" s="31" t="str">
        <f aca="false">IF(F104&gt;69%, "GOOD", "POOR")</f>
        <v>POOR</v>
      </c>
      <c r="H104" s="32" t="n">
        <v>3.3</v>
      </c>
      <c r="I104" s="32" t="n">
        <v>170</v>
      </c>
      <c r="J104" s="32" t="str">
        <f aca="false" t="array" ref="J104:J104">_xlfn.IFS(I104&gt;299,"High HP",I104&gt;99,"Medium HP",I104&lt;100,"Low HP")</f>
        <v>Medium HP</v>
      </c>
      <c r="K104" s="32" t="s">
        <v>64</v>
      </c>
      <c r="L104" s="32" t="n">
        <v>21</v>
      </c>
      <c r="M104" s="32" t="n">
        <v>71.17166413</v>
      </c>
      <c r="N104" s="32" t="n">
        <v>112.2</v>
      </c>
      <c r="O104" s="32" t="n">
        <v>74.9</v>
      </c>
      <c r="P104" s="32" t="n">
        <v>194.8</v>
      </c>
      <c r="Q104" s="32" t="n">
        <v>3.991</v>
      </c>
      <c r="R104" s="32" t="n">
        <v>20</v>
      </c>
      <c r="S104" s="33" t="n">
        <v>40609</v>
      </c>
    </row>
    <row r="105" customFormat="false" ht="16.15" hidden="false" customHeight="false" outlineLevel="0" collapsed="false">
      <c r="A105" s="27" t="s">
        <v>7</v>
      </c>
      <c r="B105" s="28" t="s">
        <v>160</v>
      </c>
      <c r="C105" s="29" t="n">
        <v>42574</v>
      </c>
      <c r="D105" s="30" t="n">
        <v>29299</v>
      </c>
      <c r="E105" s="30" t="n">
        <v>17810</v>
      </c>
      <c r="F105" s="31" t="n">
        <f aca="false">SUM(E105/D105)</f>
        <v>0.60787057578757</v>
      </c>
      <c r="G105" s="31" t="str">
        <f aca="false">IF(F105&gt;69%, "GOOD", "POOR")</f>
        <v>POOR</v>
      </c>
      <c r="H105" s="32" t="n">
        <v>3.3</v>
      </c>
      <c r="I105" s="32" t="n">
        <v>170</v>
      </c>
      <c r="J105" s="32" t="str">
        <f aca="false" t="array" ref="J105:J105">_xlfn.IFS(I105&gt;299,"High HP",I105&gt;99,"Medium HP",I105&lt;100,"Low HP")</f>
        <v>Medium HP</v>
      </c>
      <c r="K105" s="32" t="s">
        <v>64</v>
      </c>
      <c r="L105" s="32" t="n">
        <v>19</v>
      </c>
      <c r="M105" s="32" t="n">
        <v>72.29035508</v>
      </c>
      <c r="N105" s="32" t="n">
        <v>106.3</v>
      </c>
      <c r="O105" s="32" t="n">
        <v>71.7</v>
      </c>
      <c r="P105" s="32" t="n">
        <v>182.6</v>
      </c>
      <c r="Q105" s="32" t="n">
        <v>3.947</v>
      </c>
      <c r="R105" s="32" t="n">
        <v>21</v>
      </c>
      <c r="S105" s="33" t="n">
        <v>40811</v>
      </c>
    </row>
    <row r="106" customFormat="false" ht="16.15" hidden="false" customHeight="false" outlineLevel="0" collapsed="false">
      <c r="A106" s="27" t="s">
        <v>7</v>
      </c>
      <c r="B106" s="28" t="s">
        <v>161</v>
      </c>
      <c r="C106" s="29" t="n">
        <v>54158</v>
      </c>
      <c r="D106" s="30" t="n">
        <v>22799</v>
      </c>
      <c r="E106" s="30" t="n">
        <v>13093</v>
      </c>
      <c r="F106" s="31" t="n">
        <f aca="false">SUM(E106/D106)</f>
        <v>0.574279573665512</v>
      </c>
      <c r="G106" s="31" t="str">
        <f aca="false">IF(F106&gt;69%, "GOOD", "POOR")</f>
        <v>POOR</v>
      </c>
      <c r="H106" s="32" t="n">
        <v>3.3</v>
      </c>
      <c r="I106" s="32" t="n">
        <v>170</v>
      </c>
      <c r="J106" s="32" t="str">
        <f aca="false" t="array" ref="J106:J106">_xlfn.IFS(I106&gt;299,"High HP",I106&gt;99,"Medium HP",I106&lt;100,"Low HP")</f>
        <v>Medium HP</v>
      </c>
      <c r="K106" s="32" t="s">
        <v>64</v>
      </c>
      <c r="L106" s="32" t="n">
        <v>18</v>
      </c>
      <c r="M106" s="32" t="n">
        <v>69.78294434</v>
      </c>
      <c r="N106" s="32" t="n">
        <v>104.3</v>
      </c>
      <c r="O106" s="32" t="n">
        <v>70.4</v>
      </c>
      <c r="P106" s="32" t="n">
        <v>178</v>
      </c>
      <c r="Q106" s="32" t="n">
        <v>3.821</v>
      </c>
      <c r="R106" s="32" t="n">
        <v>19.4</v>
      </c>
      <c r="S106" s="33" t="n">
        <v>40567</v>
      </c>
    </row>
    <row r="107" customFormat="false" ht="16.15" hidden="false" customHeight="false" outlineLevel="0" collapsed="false">
      <c r="A107" s="27" t="s">
        <v>7</v>
      </c>
      <c r="B107" s="28" t="s">
        <v>162</v>
      </c>
      <c r="C107" s="29" t="n">
        <v>65005</v>
      </c>
      <c r="D107" s="30" t="n">
        <v>17890</v>
      </c>
      <c r="E107" s="30" t="n">
        <v>10670</v>
      </c>
      <c r="F107" s="31" t="n">
        <f aca="false">SUM(E107/D107)</f>
        <v>0.596422582448295</v>
      </c>
      <c r="G107" s="31" t="str">
        <f aca="false">IF(F107&gt;69%, "GOOD", "POOR")</f>
        <v>POOR</v>
      </c>
      <c r="H107" s="32" t="n">
        <v>3.3</v>
      </c>
      <c r="I107" s="32" t="n">
        <v>170</v>
      </c>
      <c r="J107" s="32" t="str">
        <f aca="false" t="array" ref="J107:J107">_xlfn.IFS(I107&gt;299,"High HP",I107&gt;99,"Medium HP",I107&lt;100,"Low HP")</f>
        <v>Medium HP</v>
      </c>
      <c r="K107" s="32" t="s">
        <v>64</v>
      </c>
      <c r="L107" s="32" t="n">
        <v>18</v>
      </c>
      <c r="M107" s="32" t="n">
        <v>67.88927059</v>
      </c>
      <c r="N107" s="32" t="n">
        <v>116.1</v>
      </c>
      <c r="O107" s="32" t="n">
        <v>66.5</v>
      </c>
      <c r="P107" s="32" t="n">
        <v>196.1</v>
      </c>
      <c r="Q107" s="32" t="n">
        <v>3.217</v>
      </c>
      <c r="R107" s="32" t="n">
        <v>19.4</v>
      </c>
      <c r="S107" s="33" t="n">
        <v>40782</v>
      </c>
    </row>
    <row r="108" customFormat="false" ht="16.15" hidden="false" customHeight="false" outlineLevel="0" collapsed="false">
      <c r="A108" s="27" t="s">
        <v>163</v>
      </c>
      <c r="B108" s="28" t="s">
        <v>164</v>
      </c>
      <c r="C108" s="29" t="n">
        <v>1112</v>
      </c>
      <c r="D108" s="30" t="n">
        <v>18145</v>
      </c>
      <c r="E108" s="30" t="n">
        <v>11240</v>
      </c>
      <c r="F108" s="31" t="n">
        <f aca="false">SUM(E108/D108)</f>
        <v>0.619454395150179</v>
      </c>
      <c r="G108" s="31" t="str">
        <f aca="false">IF(F108&gt;69%, "GOOD", "POOR")</f>
        <v>POOR</v>
      </c>
      <c r="H108" s="32" t="n">
        <v>3.1</v>
      </c>
      <c r="I108" s="32" t="n">
        <v>150</v>
      </c>
      <c r="J108" s="32" t="str">
        <f aca="false" t="array" ref="J108:J108">_xlfn.IFS(I108&gt;299,"High HP",I108&gt;99,"Medium HP",I108&lt;100,"Low HP")</f>
        <v>Medium HP</v>
      </c>
      <c r="K108" s="32" t="s">
        <v>42</v>
      </c>
      <c r="L108" s="32" t="n">
        <v>25</v>
      </c>
      <c r="M108" s="32" t="n">
        <v>60.86161155</v>
      </c>
      <c r="N108" s="32" t="n">
        <v>107</v>
      </c>
      <c r="O108" s="32" t="n">
        <v>69.4</v>
      </c>
      <c r="P108" s="32" t="n">
        <v>192</v>
      </c>
      <c r="Q108" s="32" t="n">
        <v>3.102</v>
      </c>
      <c r="R108" s="32" t="n">
        <v>15.2</v>
      </c>
      <c r="S108" s="33" t="n">
        <v>40694</v>
      </c>
    </row>
    <row r="109" customFormat="false" ht="16.15" hidden="false" customHeight="false" outlineLevel="0" collapsed="false">
      <c r="A109" s="27" t="s">
        <v>163</v>
      </c>
      <c r="B109" s="28" t="s">
        <v>165</v>
      </c>
      <c r="C109" s="29" t="n">
        <v>38554</v>
      </c>
      <c r="D109" s="30" t="n">
        <v>24150</v>
      </c>
      <c r="E109" s="30" t="n">
        <v>17100</v>
      </c>
      <c r="F109" s="31" t="n">
        <f aca="false">SUM(E109/D109)</f>
        <v>0.708074534161491</v>
      </c>
      <c r="G109" s="31" t="str">
        <f aca="false">IF(F109&gt;69%, "GOOD", "POOR")</f>
        <v>GOOD</v>
      </c>
      <c r="H109" s="32" t="n">
        <v>3.5</v>
      </c>
      <c r="I109" s="32" t="n">
        <v>215</v>
      </c>
      <c r="J109" s="32" t="str">
        <f aca="false" t="array" ref="J109:J109">_xlfn.IFS(I109&gt;299,"High HP",I109&gt;99,"Medium HP",I109&lt;100,"Low HP")</f>
        <v>Medium HP</v>
      </c>
      <c r="K109" s="32" t="s">
        <v>42</v>
      </c>
      <c r="L109" s="32" t="n">
        <v>23</v>
      </c>
      <c r="M109" s="32" t="n">
        <v>86.27252291</v>
      </c>
      <c r="N109" s="32" t="n">
        <v>109</v>
      </c>
      <c r="O109" s="32" t="n">
        <v>73.6</v>
      </c>
      <c r="P109" s="32" t="n">
        <v>195.9</v>
      </c>
      <c r="Q109" s="32" t="n">
        <v>3.455</v>
      </c>
      <c r="R109" s="32" t="n">
        <v>18</v>
      </c>
      <c r="S109" s="33" t="n">
        <v>40634</v>
      </c>
    </row>
    <row r="110" customFormat="false" ht="16.15" hidden="false" customHeight="false" outlineLevel="0" collapsed="false">
      <c r="A110" s="27" t="s">
        <v>163</v>
      </c>
      <c r="B110" s="28" t="s">
        <v>166</v>
      </c>
      <c r="C110" s="29" t="n">
        <v>80255</v>
      </c>
      <c r="D110" s="30" t="n">
        <v>18270</v>
      </c>
      <c r="E110" s="30" t="n">
        <v>11459</v>
      </c>
      <c r="F110" s="31" t="n">
        <f aca="false">SUM(E110/D110)</f>
        <v>0.6272030651341</v>
      </c>
      <c r="G110" s="31" t="str">
        <f aca="false">IF(F110&gt;69%, "GOOD", "POOR")</f>
        <v>POOR</v>
      </c>
      <c r="H110" s="32" t="n">
        <v>2.4</v>
      </c>
      <c r="I110" s="32" t="n">
        <v>150</v>
      </c>
      <c r="J110" s="32" t="str">
        <f aca="false" t="array" ref="J110:J110">_xlfn.IFS(I110&gt;299,"High HP",I110&gt;99,"Medium HP",I110&lt;100,"Low HP")</f>
        <v>Medium HP</v>
      </c>
      <c r="K110" s="32" t="s">
        <v>42</v>
      </c>
      <c r="L110" s="32" t="n">
        <v>27</v>
      </c>
      <c r="M110" s="32" t="n">
        <v>60.72744693</v>
      </c>
      <c r="N110" s="32" t="n">
        <v>107</v>
      </c>
      <c r="O110" s="32" t="n">
        <v>70.1</v>
      </c>
      <c r="P110" s="32" t="n">
        <v>186.7</v>
      </c>
      <c r="Q110" s="32" t="n">
        <v>2.958</v>
      </c>
      <c r="R110" s="32" t="n">
        <v>15</v>
      </c>
      <c r="S110" s="33" t="n">
        <v>40106</v>
      </c>
    </row>
    <row r="111" customFormat="false" ht="16.15" hidden="false" customHeight="false" outlineLevel="0" collapsed="false">
      <c r="A111" s="27" t="s">
        <v>163</v>
      </c>
      <c r="B111" s="28" t="s">
        <v>167</v>
      </c>
      <c r="C111" s="29" t="n">
        <v>14690</v>
      </c>
      <c r="D111" s="30" t="n">
        <v>36229</v>
      </c>
      <c r="E111" s="30" t="n">
        <v>19890</v>
      </c>
      <c r="F111" s="31" t="n">
        <f aca="false">SUM(E111/D111)</f>
        <v>0.549007701013001</v>
      </c>
      <c r="G111" s="31" t="str">
        <f aca="false">IF(F111&gt;69%, "GOOD", "POOR")</f>
        <v>POOR</v>
      </c>
      <c r="H111" s="32" t="n">
        <v>4</v>
      </c>
      <c r="I111" s="32" t="n">
        <v>250</v>
      </c>
      <c r="J111" s="32" t="str">
        <f aca="false" t="array" ref="J111:J111">_xlfn.IFS(I111&gt;299,"High HP",I111&gt;99,"Medium HP",I111&lt;100,"Low HP")</f>
        <v>Medium HP</v>
      </c>
      <c r="K111" s="32" t="s">
        <v>42</v>
      </c>
      <c r="L111" s="32" t="n">
        <v>22</v>
      </c>
      <c r="M111" s="32" t="n">
        <v>103.4416926</v>
      </c>
      <c r="N111" s="32" t="n">
        <v>113.8</v>
      </c>
      <c r="O111" s="32" t="n">
        <v>74.4</v>
      </c>
      <c r="P111" s="32" t="n">
        <v>205.4</v>
      </c>
      <c r="Q111" s="32" t="n">
        <v>3.967</v>
      </c>
      <c r="R111" s="32" t="n">
        <v>18.5</v>
      </c>
      <c r="S111" s="33" t="n">
        <v>40592</v>
      </c>
    </row>
    <row r="112" customFormat="false" ht="16.15" hidden="false" customHeight="false" outlineLevel="0" collapsed="false">
      <c r="A112" s="27" t="s">
        <v>163</v>
      </c>
      <c r="B112" s="28" t="s">
        <v>168</v>
      </c>
      <c r="C112" s="29" t="n">
        <v>20017</v>
      </c>
      <c r="D112" s="30" t="n">
        <v>31598</v>
      </c>
      <c r="E112" s="30" t="n">
        <v>19925</v>
      </c>
      <c r="F112" s="31" t="n">
        <f aca="false">SUM(E112/D112)</f>
        <v>0.630577884676245</v>
      </c>
      <c r="G112" s="31" t="str">
        <f aca="false">IF(F112&gt;69%, "GOOD", "POOR")</f>
        <v>POOR</v>
      </c>
      <c r="H112" s="32" t="n">
        <v>4.3</v>
      </c>
      <c r="I112" s="32" t="n">
        <v>190</v>
      </c>
      <c r="J112" s="32" t="str">
        <f aca="false" t="array" ref="J112:J112">_xlfn.IFS(I112&gt;299,"High HP",I112&gt;99,"Medium HP",I112&lt;100,"Low HP")</f>
        <v>Medium HP</v>
      </c>
      <c r="K112" s="32" t="s">
        <v>64</v>
      </c>
      <c r="L112" s="32" t="n">
        <v>19</v>
      </c>
      <c r="M112" s="32" t="n">
        <v>80.51167259</v>
      </c>
      <c r="N112" s="32" t="n">
        <v>107</v>
      </c>
      <c r="O112" s="32" t="n">
        <v>67.8</v>
      </c>
      <c r="P112" s="32" t="n">
        <v>181.2</v>
      </c>
      <c r="Q112" s="32" t="n">
        <v>4.068</v>
      </c>
      <c r="R112" s="32" t="n">
        <v>17.5</v>
      </c>
      <c r="S112" s="33" t="n">
        <v>40807</v>
      </c>
    </row>
    <row r="113" customFormat="false" ht="16.15" hidden="false" customHeight="false" outlineLevel="0" collapsed="false">
      <c r="A113" s="27" t="s">
        <v>163</v>
      </c>
      <c r="B113" s="28" t="s">
        <v>169</v>
      </c>
      <c r="C113" s="29" t="n">
        <v>24361</v>
      </c>
      <c r="D113" s="30" t="n">
        <v>25345</v>
      </c>
      <c r="E113" s="30" t="n">
        <v>15240</v>
      </c>
      <c r="F113" s="31" t="n">
        <f aca="false">SUM(E113/D113)</f>
        <v>0.601302031958966</v>
      </c>
      <c r="G113" s="31" t="str">
        <f aca="false">IF(F113&gt;69%, "GOOD", "POOR")</f>
        <v>POOR</v>
      </c>
      <c r="H113" s="32" t="n">
        <v>3.4</v>
      </c>
      <c r="I113" s="32" t="n">
        <v>185</v>
      </c>
      <c r="J113" s="32" t="str">
        <f aca="false" t="array" ref="J113:J113">_xlfn.IFS(I113&gt;299,"High HP",I113&gt;99,"Medium HP",I113&lt;100,"Low HP")</f>
        <v>Medium HP</v>
      </c>
      <c r="K113" s="32" t="s">
        <v>64</v>
      </c>
      <c r="L113" s="32" t="n">
        <v>22</v>
      </c>
      <c r="M113" s="32" t="n">
        <v>76.09657042</v>
      </c>
      <c r="N113" s="32" t="n">
        <v>120</v>
      </c>
      <c r="O113" s="32" t="n">
        <v>72.2</v>
      </c>
      <c r="P113" s="32" t="n">
        <v>201.4</v>
      </c>
      <c r="Q113" s="32" t="n">
        <v>3.948</v>
      </c>
      <c r="R113" s="32" t="n">
        <v>25</v>
      </c>
      <c r="S113" s="33" t="n">
        <v>40719</v>
      </c>
    </row>
    <row r="114" customFormat="false" ht="16.15" hidden="false" customHeight="false" outlineLevel="0" collapsed="false">
      <c r="A114" s="27" t="s">
        <v>170</v>
      </c>
      <c r="B114" s="28" t="s">
        <v>83</v>
      </c>
      <c r="C114" s="29" t="n">
        <v>32734</v>
      </c>
      <c r="D114" s="30" t="n">
        <v>12640</v>
      </c>
      <c r="E114" s="30" t="n">
        <v>7750</v>
      </c>
      <c r="F114" s="31" t="n">
        <f aca="false">SUM(E114/D114)</f>
        <v>0.613132911392405</v>
      </c>
      <c r="G114" s="31" t="str">
        <f aca="false">IF(F114&gt;69%, "GOOD", "POOR")</f>
        <v>POOR</v>
      </c>
      <c r="H114" s="32" t="n">
        <v>2</v>
      </c>
      <c r="I114" s="32" t="n">
        <v>132</v>
      </c>
      <c r="J114" s="32" t="str">
        <f aca="false" t="array" ref="J114:J114">_xlfn.IFS(I114&gt;299,"High HP",I114&gt;99,"Medium HP",I114&lt;100,"Low HP")</f>
        <v>Medium HP</v>
      </c>
      <c r="K114" s="32" t="s">
        <v>42</v>
      </c>
      <c r="L114" s="32" t="n">
        <v>29</v>
      </c>
      <c r="M114" s="32" t="n">
        <v>52.08489875</v>
      </c>
      <c r="N114" s="32" t="n">
        <v>105</v>
      </c>
      <c r="O114" s="32" t="n">
        <v>74.4</v>
      </c>
      <c r="P114" s="32" t="n">
        <v>174.4</v>
      </c>
      <c r="Q114" s="32" t="n">
        <v>2.559</v>
      </c>
      <c r="R114" s="32" t="n">
        <v>12.5</v>
      </c>
      <c r="S114" s="33" t="n">
        <v>40659</v>
      </c>
    </row>
    <row r="115" customFormat="false" ht="16.15" hidden="false" customHeight="false" outlineLevel="0" collapsed="false">
      <c r="A115" s="27" t="s">
        <v>170</v>
      </c>
      <c r="B115" s="28" t="s">
        <v>171</v>
      </c>
      <c r="C115" s="29" t="n">
        <v>5240</v>
      </c>
      <c r="D115" s="30" t="n">
        <v>16080</v>
      </c>
      <c r="E115" s="30" t="n">
        <v>9800</v>
      </c>
      <c r="F115" s="31" t="n">
        <f aca="false">SUM(E115/D115)</f>
        <v>0.609452736318408</v>
      </c>
      <c r="G115" s="31" t="str">
        <f aca="false">IF(F115&gt;69%, "GOOD", "POOR")</f>
        <v>POOR</v>
      </c>
      <c r="H115" s="32" t="n">
        <v>2</v>
      </c>
      <c r="I115" s="32" t="n">
        <v>132</v>
      </c>
      <c r="J115" s="32" t="str">
        <f aca="false" t="array" ref="J115:J115">_xlfn.IFS(I115&gt;299,"High HP",I115&gt;99,"Medium HP",I115&lt;100,"Low HP")</f>
        <v>Medium HP</v>
      </c>
      <c r="K115" s="32" t="s">
        <v>42</v>
      </c>
      <c r="L115" s="32" t="n">
        <v>27</v>
      </c>
      <c r="M115" s="32" t="n">
        <v>53.41189767</v>
      </c>
      <c r="N115" s="32" t="n">
        <v>108</v>
      </c>
      <c r="O115" s="32" t="n">
        <v>71</v>
      </c>
      <c r="P115" s="32" t="n">
        <v>186.3</v>
      </c>
      <c r="Q115" s="32" t="n">
        <v>2.942</v>
      </c>
      <c r="R115" s="32" t="n">
        <v>16</v>
      </c>
      <c r="S115" s="33" t="n">
        <v>40861</v>
      </c>
    </row>
    <row r="116" customFormat="false" ht="16.15" hidden="false" customHeight="false" outlineLevel="0" collapsed="false">
      <c r="A116" s="27" t="s">
        <v>170</v>
      </c>
      <c r="B116" s="28" t="s">
        <v>172</v>
      </c>
      <c r="C116" s="29" t="n">
        <v>24155</v>
      </c>
      <c r="D116" s="30" t="n">
        <v>18850</v>
      </c>
      <c r="E116" s="30" t="n">
        <v>12025</v>
      </c>
      <c r="F116" s="31" t="n">
        <f aca="false">SUM(E116/D116)</f>
        <v>0.637931034482759</v>
      </c>
      <c r="G116" s="31" t="str">
        <f aca="false">IF(F116&gt;69%, "GOOD", "POOR")</f>
        <v>POOR</v>
      </c>
      <c r="H116" s="32" t="n">
        <v>2.4</v>
      </c>
      <c r="I116" s="32" t="n">
        <v>150</v>
      </c>
      <c r="J116" s="32" t="str">
        <f aca="false" t="array" ref="J116:J116">_xlfn.IFS(I116&gt;299,"High HP",I116&gt;99,"Medium HP",I116&lt;100,"Low HP")</f>
        <v>Medium HP</v>
      </c>
      <c r="K116" s="32" t="s">
        <v>64</v>
      </c>
      <c r="L116" s="32" t="n">
        <v>24</v>
      </c>
      <c r="M116" s="32" t="n">
        <v>60.95118512</v>
      </c>
      <c r="N116" s="32" t="n">
        <v>113.3</v>
      </c>
      <c r="O116" s="32" t="n">
        <v>76.8</v>
      </c>
      <c r="P116" s="32" t="n">
        <v>186.3</v>
      </c>
      <c r="Q116" s="32" t="n">
        <v>3.528</v>
      </c>
      <c r="R116" s="32" t="n">
        <v>20</v>
      </c>
      <c r="S116" s="33" t="n">
        <v>40657</v>
      </c>
    </row>
    <row r="117" customFormat="false" ht="16.15" hidden="false" customHeight="false" outlineLevel="0" collapsed="false">
      <c r="A117" s="27" t="s">
        <v>170</v>
      </c>
      <c r="B117" s="28" t="s">
        <v>173</v>
      </c>
      <c r="C117" s="29" t="n">
        <v>1872</v>
      </c>
      <c r="D117" s="30" t="n">
        <v>43000</v>
      </c>
      <c r="E117" s="30" t="n">
        <v>30434</v>
      </c>
      <c r="F117" s="31" t="n">
        <f aca="false">SUM(E117/D117)</f>
        <v>0.707767441860465</v>
      </c>
      <c r="G117" s="31" t="str">
        <f aca="false">IF(F117&gt;69%, "GOOD", "POOR")</f>
        <v>GOOD</v>
      </c>
      <c r="H117" s="32" t="n">
        <v>3.5</v>
      </c>
      <c r="I117" s="32" t="n">
        <v>253</v>
      </c>
      <c r="J117" s="32" t="str">
        <f aca="false" t="array" ref="J117:J117">_xlfn.IFS(I117&gt;299,"High HP",I117&gt;99,"Medium HP",I117&lt;100,"Low HP")</f>
        <v>Medium HP</v>
      </c>
      <c r="K117" s="32" t="s">
        <v>42</v>
      </c>
      <c r="L117" s="32" t="n">
        <v>21</v>
      </c>
      <c r="M117" s="32" t="n">
        <v>106.9844563</v>
      </c>
      <c r="N117" s="32" t="n">
        <v>113.3</v>
      </c>
      <c r="O117" s="32" t="n">
        <v>76.3</v>
      </c>
      <c r="P117" s="32" t="n">
        <v>165.4</v>
      </c>
      <c r="Q117" s="32" t="n">
        <v>2.85</v>
      </c>
      <c r="R117" s="32" t="n">
        <v>12</v>
      </c>
      <c r="S117" s="33" t="n">
        <v>41087</v>
      </c>
    </row>
    <row r="118" customFormat="false" ht="16.15" hidden="false" customHeight="false" outlineLevel="0" collapsed="false">
      <c r="A118" s="27" t="s">
        <v>174</v>
      </c>
      <c r="B118" s="28" t="s">
        <v>175</v>
      </c>
      <c r="C118" s="29" t="n">
        <v>51645</v>
      </c>
      <c r="D118" s="30" t="n">
        <v>21610</v>
      </c>
      <c r="E118" s="30" t="n">
        <v>13790</v>
      </c>
      <c r="F118" s="31" t="n">
        <f aca="false">SUM(E118/D118)</f>
        <v>0.638130495141138</v>
      </c>
      <c r="G118" s="31" t="str">
        <f aca="false">IF(F118&gt;69%, "GOOD", "POOR")</f>
        <v>POOR</v>
      </c>
      <c r="H118" s="32" t="n">
        <v>2.4</v>
      </c>
      <c r="I118" s="32" t="n">
        <v>150</v>
      </c>
      <c r="J118" s="32" t="str">
        <f aca="false" t="array" ref="J118:J118">_xlfn.IFS(I118&gt;299,"High HP",I118&gt;99,"Medium HP",I118&lt;100,"Low HP")</f>
        <v>Medium HP</v>
      </c>
      <c r="K118" s="32" t="s">
        <v>42</v>
      </c>
      <c r="L118" s="32" t="n">
        <v>27</v>
      </c>
      <c r="M118" s="32" t="n">
        <v>62.0158703</v>
      </c>
      <c r="N118" s="32" t="n">
        <v>104.1</v>
      </c>
      <c r="O118" s="32" t="n">
        <v>68.4</v>
      </c>
      <c r="P118" s="32" t="n">
        <v>181.9</v>
      </c>
      <c r="Q118" s="32" t="n">
        <v>2.906</v>
      </c>
      <c r="R118" s="32" t="n">
        <v>15</v>
      </c>
      <c r="S118" s="33" t="n">
        <v>40933</v>
      </c>
    </row>
    <row r="119" customFormat="false" ht="16.15" hidden="false" customHeight="false" outlineLevel="0" collapsed="false">
      <c r="A119" s="27" t="s">
        <v>174</v>
      </c>
      <c r="B119" s="28" t="s">
        <v>176</v>
      </c>
      <c r="C119" s="29" t="n">
        <v>131097</v>
      </c>
      <c r="D119" s="30" t="n">
        <v>19720</v>
      </c>
      <c r="E119" s="30" t="n">
        <v>10290</v>
      </c>
      <c r="F119" s="31" t="n">
        <f aca="false">SUM(E119/D119)</f>
        <v>0.521805273833671</v>
      </c>
      <c r="G119" s="31" t="str">
        <f aca="false">IF(F119&gt;69%, "GOOD", "POOR")</f>
        <v>POOR</v>
      </c>
      <c r="H119" s="32" t="n">
        <v>3.4</v>
      </c>
      <c r="I119" s="32" t="n">
        <v>175</v>
      </c>
      <c r="J119" s="32" t="str">
        <f aca="false" t="array" ref="J119:J119">_xlfn.IFS(I119&gt;299,"High HP",I119&gt;99,"Medium HP",I119&lt;100,"Low HP")</f>
        <v>Medium HP</v>
      </c>
      <c r="K119" s="32" t="s">
        <v>42</v>
      </c>
      <c r="L119" s="32" t="n">
        <v>25</v>
      </c>
      <c r="M119" s="32" t="n">
        <v>70.38973726</v>
      </c>
      <c r="N119" s="32" t="n">
        <v>107</v>
      </c>
      <c r="O119" s="32" t="n">
        <v>70.4</v>
      </c>
      <c r="P119" s="32" t="n">
        <v>186.3</v>
      </c>
      <c r="Q119" s="32" t="n">
        <v>3.091</v>
      </c>
      <c r="R119" s="32" t="n">
        <v>15.2</v>
      </c>
      <c r="S119" s="33" t="n">
        <v>41239</v>
      </c>
    </row>
    <row r="120" customFormat="false" ht="16.15" hidden="false" customHeight="false" outlineLevel="0" collapsed="false">
      <c r="A120" s="27" t="s">
        <v>174</v>
      </c>
      <c r="B120" s="28" t="s">
        <v>177</v>
      </c>
      <c r="C120" s="29" t="n">
        <v>19911</v>
      </c>
      <c r="D120" s="30" t="n">
        <v>25310</v>
      </c>
      <c r="E120" s="30" t="n">
        <v>17805</v>
      </c>
      <c r="F120" s="31" t="n">
        <f aca="false">SUM(E120/D120)</f>
        <v>0.703476886606085</v>
      </c>
      <c r="G120" s="31" t="str">
        <f aca="false">IF(F120&gt;69%, "GOOD", "POOR")</f>
        <v>GOOD</v>
      </c>
      <c r="H120" s="32" t="n">
        <v>3.8</v>
      </c>
      <c r="I120" s="32" t="n">
        <v>200</v>
      </c>
      <c r="J120" s="32" t="str">
        <f aca="false" t="array" ref="J120:J120">_xlfn.IFS(I120&gt;299,"High HP",I120&gt;99,"Medium HP",I120&lt;100,"Low HP")</f>
        <v>Medium HP</v>
      </c>
      <c r="K120" s="32" t="s">
        <v>42</v>
      </c>
      <c r="L120" s="32" t="n">
        <v>25</v>
      </c>
      <c r="M120" s="32" t="n">
        <v>81.49272616</v>
      </c>
      <c r="N120" s="32" t="n">
        <v>101.1</v>
      </c>
      <c r="O120" s="32" t="n">
        <v>74.5</v>
      </c>
      <c r="P120" s="32" t="n">
        <v>193.4</v>
      </c>
      <c r="Q120" s="32" t="n">
        <v>3.492</v>
      </c>
      <c r="R120" s="32" t="n">
        <v>16.8</v>
      </c>
      <c r="S120" s="33" t="n">
        <v>41076</v>
      </c>
    </row>
    <row r="121" customFormat="false" ht="16.15" hidden="false" customHeight="false" outlineLevel="0" collapsed="false">
      <c r="A121" s="27" t="s">
        <v>174</v>
      </c>
      <c r="B121" s="28" t="s">
        <v>178</v>
      </c>
      <c r="C121" s="29" t="n">
        <v>92364</v>
      </c>
      <c r="D121" s="30" t="n">
        <v>21665</v>
      </c>
      <c r="E121" s="30" t="n">
        <v>14010</v>
      </c>
      <c r="F121" s="31" t="n">
        <f aca="false">SUM(E121/D121)</f>
        <v>0.646665128086776</v>
      </c>
      <c r="G121" s="31" t="str">
        <f aca="false">IF(F121&gt;69%, "GOOD", "POOR")</f>
        <v>POOR</v>
      </c>
      <c r="H121" s="32" t="n">
        <v>3.8</v>
      </c>
      <c r="I121" s="32" t="n">
        <v>195</v>
      </c>
      <c r="J121" s="32" t="str">
        <f aca="false" t="array" ref="J121:J121">_xlfn.IFS(I121&gt;299,"High HP",I121&gt;99,"Medium HP",I121&lt;100,"Low HP")</f>
        <v>Medium HP</v>
      </c>
      <c r="K121" s="32" t="s">
        <v>42</v>
      </c>
      <c r="L121" s="32" t="n">
        <v>25</v>
      </c>
      <c r="M121" s="32" t="n">
        <v>78.31816813</v>
      </c>
      <c r="N121" s="32" t="n">
        <v>110.5</v>
      </c>
      <c r="O121" s="32" t="n">
        <v>72.7</v>
      </c>
      <c r="P121" s="32" t="n">
        <v>196.5</v>
      </c>
      <c r="Q121" s="32" t="n">
        <v>3.396</v>
      </c>
      <c r="R121" s="32" t="n">
        <v>18</v>
      </c>
      <c r="S121" s="33" t="n">
        <v>41197</v>
      </c>
    </row>
    <row r="122" customFormat="false" ht="16.15" hidden="false" customHeight="false" outlineLevel="0" collapsed="false">
      <c r="A122" s="27" t="s">
        <v>174</v>
      </c>
      <c r="B122" s="28" t="s">
        <v>179</v>
      </c>
      <c r="C122" s="29" t="n">
        <v>35945</v>
      </c>
      <c r="D122" s="30" t="n">
        <v>23755</v>
      </c>
      <c r="E122" s="30" t="n">
        <v>13225</v>
      </c>
      <c r="F122" s="31" t="n">
        <f aca="false">SUM(E122/D122)</f>
        <v>0.556724900021048</v>
      </c>
      <c r="G122" s="31" t="str">
        <f aca="false">IF(F122&gt;69%, "GOOD", "POOR")</f>
        <v>POOR</v>
      </c>
      <c r="H122" s="32" t="n">
        <v>3.8</v>
      </c>
      <c r="I122" s="32" t="n">
        <v>205</v>
      </c>
      <c r="J122" s="32" t="str">
        <f aca="false" t="array" ref="J122:J122">_xlfn.IFS(I122&gt;299,"High HP",I122&gt;99,"Medium HP",I122&lt;100,"Low HP")</f>
        <v>Medium HP</v>
      </c>
      <c r="K122" s="32" t="s">
        <v>42</v>
      </c>
      <c r="L122" s="32" t="n">
        <v>24</v>
      </c>
      <c r="M122" s="32" t="n">
        <v>82.6613556</v>
      </c>
      <c r="N122" s="32" t="n">
        <v>112.2</v>
      </c>
      <c r="O122" s="32" t="n">
        <v>72.6</v>
      </c>
      <c r="P122" s="32" t="n">
        <v>202.5</v>
      </c>
      <c r="Q122" s="32" t="n">
        <v>3.59</v>
      </c>
      <c r="R122" s="32" t="n">
        <v>17.5</v>
      </c>
      <c r="S122" s="33" t="n">
        <v>40681</v>
      </c>
    </row>
    <row r="123" customFormat="false" ht="16.15" hidden="false" customHeight="false" outlineLevel="0" collapsed="false">
      <c r="A123" s="27" t="s">
        <v>174</v>
      </c>
      <c r="B123" s="28" t="s">
        <v>180</v>
      </c>
      <c r="C123" s="29" t="n">
        <v>39572</v>
      </c>
      <c r="D123" s="30" t="n">
        <v>25635</v>
      </c>
      <c r="E123" s="30" t="n">
        <v>14215</v>
      </c>
      <c r="F123" s="31" t="n">
        <f aca="false">SUM(E123/D123)</f>
        <v>0.554515311098108</v>
      </c>
      <c r="G123" s="31" t="str">
        <f aca="false">IF(F123&gt;69%, "GOOD", "POOR")</f>
        <v>POOR</v>
      </c>
      <c r="H123" s="32" t="n">
        <v>3.4</v>
      </c>
      <c r="I123" s="32" t="n">
        <v>185</v>
      </c>
      <c r="J123" s="32" t="str">
        <f aca="false" t="array" ref="J123:J123">_xlfn.IFS(I123&gt;299,"High HP",I123&gt;99,"Medium HP",I123&lt;100,"Low HP")</f>
        <v>Medium HP</v>
      </c>
      <c r="K123" s="32" t="s">
        <v>64</v>
      </c>
      <c r="L123" s="32" t="n">
        <v>23</v>
      </c>
      <c r="M123" s="32" t="n">
        <v>76.20843952</v>
      </c>
      <c r="N123" s="32" t="n">
        <v>120</v>
      </c>
      <c r="O123" s="32" t="n">
        <v>72.7</v>
      </c>
      <c r="P123" s="32" t="n">
        <v>201.3</v>
      </c>
      <c r="Q123" s="32" t="n">
        <v>3.942</v>
      </c>
      <c r="R123" s="32" t="n">
        <v>25</v>
      </c>
      <c r="S123" s="33" t="n">
        <v>41112</v>
      </c>
    </row>
    <row r="124" customFormat="false" ht="16.15" hidden="false" customHeight="false" outlineLevel="0" collapsed="false">
      <c r="A124" s="27" t="s">
        <v>181</v>
      </c>
      <c r="B124" s="28" t="s">
        <v>182</v>
      </c>
      <c r="C124" s="29" t="n">
        <v>8982</v>
      </c>
      <c r="D124" s="30" t="n">
        <v>41430</v>
      </c>
      <c r="E124" s="30" t="n">
        <v>41250</v>
      </c>
      <c r="F124" s="31" t="n">
        <f aca="false">SUM(E124/D124)</f>
        <v>0.995655322230268</v>
      </c>
      <c r="G124" s="31" t="str">
        <f aca="false">IF(F124&gt;69%, "GOOD", "POOR")</f>
        <v>GOOD</v>
      </c>
      <c r="H124" s="32" t="n">
        <v>2.7</v>
      </c>
      <c r="I124" s="32" t="n">
        <v>217</v>
      </c>
      <c r="J124" s="32" t="str">
        <f aca="false" t="array" ref="J124:J124">_xlfn.IFS(I124&gt;299,"High HP",I124&gt;99,"Medium HP",I124&lt;100,"Low HP")</f>
        <v>Medium HP</v>
      </c>
      <c r="K124" s="32" t="s">
        <v>42</v>
      </c>
      <c r="L124" s="32" t="n">
        <v>22</v>
      </c>
      <c r="M124" s="32" t="n">
        <v>93.4373307</v>
      </c>
      <c r="N124" s="32" t="n">
        <v>95.2</v>
      </c>
      <c r="O124" s="32" t="n">
        <v>70.1</v>
      </c>
      <c r="P124" s="32" t="n">
        <v>171</v>
      </c>
      <c r="Q124" s="32" t="n">
        <v>2.778</v>
      </c>
      <c r="R124" s="32" t="n">
        <v>17</v>
      </c>
      <c r="S124" s="33" t="n">
        <v>40958</v>
      </c>
    </row>
    <row r="125" customFormat="false" ht="16.15" hidden="false" customHeight="false" outlineLevel="0" collapsed="false">
      <c r="A125" s="27" t="s">
        <v>181</v>
      </c>
      <c r="B125" s="28" t="s">
        <v>183</v>
      </c>
      <c r="C125" s="29" t="n">
        <v>1280</v>
      </c>
      <c r="D125" s="30" t="n">
        <v>71020</v>
      </c>
      <c r="E125" s="30" t="n">
        <v>60625</v>
      </c>
      <c r="F125" s="31" t="n">
        <f aca="false">SUM(E125/D125)</f>
        <v>0.853632779498733</v>
      </c>
      <c r="G125" s="31" t="str">
        <f aca="false">IF(F125&gt;69%, "GOOD", "POOR")</f>
        <v>GOOD</v>
      </c>
      <c r="H125" s="32" t="n">
        <v>3.4</v>
      </c>
      <c r="I125" s="32" t="n">
        <v>300</v>
      </c>
      <c r="J125" s="32" t="str">
        <f aca="false" t="array" ref="J125:J125">_xlfn.IFS(I125&gt;299,"High HP",I125&gt;99,"Medium HP",I125&lt;100,"Low HP")</f>
        <v>High HP</v>
      </c>
      <c r="K125" s="32" t="s">
        <v>42</v>
      </c>
      <c r="L125" s="32" t="n">
        <v>21</v>
      </c>
      <c r="M125" s="32" t="n">
        <v>134.3909754</v>
      </c>
      <c r="N125" s="32" t="n">
        <v>92.6</v>
      </c>
      <c r="O125" s="32" t="n">
        <v>69.5</v>
      </c>
      <c r="P125" s="32" t="n">
        <v>174.5</v>
      </c>
      <c r="Q125" s="32" t="n">
        <v>3.032</v>
      </c>
      <c r="R125" s="32" t="n">
        <v>17</v>
      </c>
      <c r="S125" s="33" t="n">
        <v>41264</v>
      </c>
    </row>
    <row r="126" customFormat="false" ht="16.15" hidden="false" customHeight="false" outlineLevel="0" collapsed="false">
      <c r="A126" s="27" t="s">
        <v>181</v>
      </c>
      <c r="B126" s="28" t="s">
        <v>184</v>
      </c>
      <c r="C126" s="29" t="n">
        <v>1866</v>
      </c>
      <c r="D126" s="30" t="n">
        <v>74970</v>
      </c>
      <c r="E126" s="30" t="n">
        <v>67550</v>
      </c>
      <c r="F126" s="31" t="n">
        <f aca="false">SUM(E126/D126)</f>
        <v>0.901027077497666</v>
      </c>
      <c r="G126" s="31" t="str">
        <f aca="false">IF(F126&gt;69%, "GOOD", "POOR")</f>
        <v>GOOD</v>
      </c>
      <c r="H126" s="32" t="n">
        <v>3.4</v>
      </c>
      <c r="I126" s="32" t="n">
        <v>300</v>
      </c>
      <c r="J126" s="32" t="str">
        <f aca="false" t="array" ref="J126:J126">_xlfn.IFS(I126&gt;299,"High HP",I126&gt;99,"Medium HP",I126&lt;100,"Low HP")</f>
        <v>High HP</v>
      </c>
      <c r="K126" s="32" t="s">
        <v>42</v>
      </c>
      <c r="L126" s="32" t="n">
        <v>23</v>
      </c>
      <c r="M126" s="32" t="n">
        <v>135.9147096</v>
      </c>
      <c r="N126" s="32" t="n">
        <v>92.6</v>
      </c>
      <c r="O126" s="32" t="n">
        <v>69.5</v>
      </c>
      <c r="P126" s="32" t="n">
        <v>174.5</v>
      </c>
      <c r="Q126" s="32" t="n">
        <v>3.075</v>
      </c>
      <c r="R126" s="32" t="n">
        <v>17</v>
      </c>
      <c r="S126" s="33" t="n">
        <v>40735</v>
      </c>
    </row>
    <row r="127" customFormat="false" ht="16.15" hidden="false" customHeight="false" outlineLevel="0" collapsed="false">
      <c r="A127" s="27" t="s">
        <v>185</v>
      </c>
      <c r="B127" s="37" t="s">
        <v>186</v>
      </c>
      <c r="C127" s="29" t="n">
        <v>9191</v>
      </c>
      <c r="D127" s="30" t="n">
        <v>33120</v>
      </c>
      <c r="E127" s="30" t="n">
        <v>22789</v>
      </c>
      <c r="F127" s="31" t="n">
        <f aca="false">SUM(E127/D127)</f>
        <v>0.688073671497585</v>
      </c>
      <c r="G127" s="31" t="str">
        <f aca="false">IF(F127&gt;69%, "GOOD", "POOR")</f>
        <v>POOR</v>
      </c>
      <c r="H127" s="32" t="n">
        <v>2.3</v>
      </c>
      <c r="I127" s="32" t="n">
        <v>170</v>
      </c>
      <c r="J127" s="32" t="str">
        <f aca="false" t="array" ref="J127:J127">_xlfn.IFS(I127&gt;299,"High HP",I127&gt;99,"Medium HP",I127&lt;100,"Low HP")</f>
        <v>Medium HP</v>
      </c>
      <c r="K127" s="32" t="s">
        <v>42</v>
      </c>
      <c r="L127" s="32" t="n">
        <v>23</v>
      </c>
      <c r="M127" s="32" t="n">
        <v>73.50377819</v>
      </c>
      <c r="N127" s="32" t="n">
        <v>106.4</v>
      </c>
      <c r="O127" s="32" t="n">
        <v>70.6</v>
      </c>
      <c r="P127" s="32" t="n">
        <v>189.2</v>
      </c>
      <c r="Q127" s="32" t="n">
        <v>3.28</v>
      </c>
      <c r="R127" s="32" t="n">
        <v>18.5</v>
      </c>
      <c r="S127" s="33" t="n">
        <v>41222</v>
      </c>
    </row>
    <row r="128" customFormat="false" ht="16.15" hidden="false" customHeight="false" outlineLevel="0" collapsed="false">
      <c r="A128" s="27" t="s">
        <v>185</v>
      </c>
      <c r="B128" s="37" t="s">
        <v>187</v>
      </c>
      <c r="C128" s="29" t="n">
        <v>12115</v>
      </c>
      <c r="D128" s="30" t="n">
        <v>26100</v>
      </c>
      <c r="E128" s="30" t="n">
        <v>18255</v>
      </c>
      <c r="F128" s="31" t="n">
        <f aca="false">SUM(E128/D128)</f>
        <v>0.699425287356322</v>
      </c>
      <c r="G128" s="31" t="str">
        <f aca="false">IF(F128&gt;69%, "GOOD", "POOR")</f>
        <v>GOOD</v>
      </c>
      <c r="H128" s="32" t="n">
        <v>2</v>
      </c>
      <c r="I128" s="32" t="n">
        <v>185</v>
      </c>
      <c r="J128" s="32" t="str">
        <f aca="false" t="array" ref="J128:J128">_xlfn.IFS(I128&gt;299,"High HP",I128&gt;99,"Medium HP",I128&lt;100,"Low HP")</f>
        <v>Medium HP</v>
      </c>
      <c r="K128" s="32" t="s">
        <v>42</v>
      </c>
      <c r="L128" s="32" t="n">
        <v>23</v>
      </c>
      <c r="M128" s="32" t="n">
        <v>76.02304771</v>
      </c>
      <c r="N128" s="32" t="n">
        <v>102.6</v>
      </c>
      <c r="O128" s="32" t="n">
        <v>67.4</v>
      </c>
      <c r="P128" s="32" t="n">
        <v>182.2</v>
      </c>
      <c r="Q128" s="32" t="n">
        <v>2.99</v>
      </c>
      <c r="R128" s="32" t="n">
        <v>16.9</v>
      </c>
      <c r="S128" s="33" t="n">
        <v>40706</v>
      </c>
    </row>
    <row r="129" customFormat="false" ht="16.15" hidden="false" customHeight="false" outlineLevel="0" collapsed="false">
      <c r="A129" s="27" t="s">
        <v>188</v>
      </c>
      <c r="B129" s="28" t="s">
        <v>189</v>
      </c>
      <c r="C129" s="29" t="n">
        <v>80620</v>
      </c>
      <c r="D129" s="30" t="n">
        <v>10685</v>
      </c>
      <c r="E129" s="30" t="n">
        <v>9200</v>
      </c>
      <c r="F129" s="31" t="n">
        <f aca="false">SUM(E129/D129)</f>
        <v>0.861020121665887</v>
      </c>
      <c r="G129" s="31" t="str">
        <f aca="false">IF(F129&gt;69%, "GOOD", "POOR")</f>
        <v>GOOD</v>
      </c>
      <c r="H129" s="32" t="n">
        <v>1.9</v>
      </c>
      <c r="I129" s="32" t="n">
        <v>100</v>
      </c>
      <c r="J129" s="32" t="str">
        <f aca="false" t="array" ref="J129:J129">_xlfn.IFS(I129&gt;299,"High HP",I129&gt;99,"Medium HP",I129&lt;100,"Low HP")</f>
        <v>Medium HP</v>
      </c>
      <c r="K129" s="32" t="s">
        <v>42</v>
      </c>
      <c r="L129" s="32" t="n">
        <v>33</v>
      </c>
      <c r="M129" s="32" t="n">
        <v>39.98642475</v>
      </c>
      <c r="N129" s="32" t="n">
        <v>102.4</v>
      </c>
      <c r="O129" s="32" t="n">
        <v>66.4</v>
      </c>
      <c r="P129" s="32" t="n">
        <v>176.9</v>
      </c>
      <c r="Q129" s="32" t="n">
        <v>2.332</v>
      </c>
      <c r="R129" s="32" t="n">
        <v>12.1</v>
      </c>
      <c r="S129" s="33" t="n">
        <v>41137</v>
      </c>
    </row>
    <row r="130" customFormat="false" ht="16.15" hidden="false" customHeight="false" outlineLevel="0" collapsed="false">
      <c r="A130" s="27" t="s">
        <v>188</v>
      </c>
      <c r="B130" s="28" t="s">
        <v>190</v>
      </c>
      <c r="C130" s="29" t="n">
        <v>24546</v>
      </c>
      <c r="D130" s="30" t="n">
        <v>12535</v>
      </c>
      <c r="E130" s="30" t="n">
        <v>10590</v>
      </c>
      <c r="F130" s="31" t="n">
        <f aca="false">SUM(E130/D130)</f>
        <v>0.844834463502194</v>
      </c>
      <c r="G130" s="31" t="str">
        <f aca="false">IF(F130&gt;69%, "GOOD", "POOR")</f>
        <v>GOOD</v>
      </c>
      <c r="H130" s="32" t="n">
        <v>1.9</v>
      </c>
      <c r="I130" s="32" t="n">
        <v>100</v>
      </c>
      <c r="J130" s="32" t="str">
        <f aca="false" t="array" ref="J130:J130">_xlfn.IFS(I130&gt;299,"High HP",I130&gt;99,"Medium HP",I130&lt;100,"Low HP")</f>
        <v>Medium HP</v>
      </c>
      <c r="K130" s="32" t="s">
        <v>42</v>
      </c>
      <c r="L130" s="32" t="n">
        <v>33</v>
      </c>
      <c r="M130" s="32" t="n">
        <v>40.70007242</v>
      </c>
      <c r="N130" s="32" t="n">
        <v>102.4</v>
      </c>
      <c r="O130" s="32" t="n">
        <v>66.4</v>
      </c>
      <c r="P130" s="32" t="n">
        <v>180</v>
      </c>
      <c r="Q130" s="32" t="n">
        <v>2.367</v>
      </c>
      <c r="R130" s="32" t="n">
        <v>12.1</v>
      </c>
      <c r="S130" s="33" t="n">
        <v>40618</v>
      </c>
    </row>
    <row r="131" customFormat="false" ht="16.15" hidden="false" customHeight="false" outlineLevel="0" collapsed="false">
      <c r="A131" s="27" t="s">
        <v>188</v>
      </c>
      <c r="B131" s="28" t="s">
        <v>191</v>
      </c>
      <c r="C131" s="29" t="n">
        <v>5223</v>
      </c>
      <c r="D131" s="30" t="n">
        <v>14290</v>
      </c>
      <c r="E131" s="30" t="n">
        <v>10790</v>
      </c>
      <c r="F131" s="31" t="n">
        <f aca="false">SUM(E131/D131)</f>
        <v>0.755073477956613</v>
      </c>
      <c r="G131" s="31" t="str">
        <f aca="false">IF(F131&gt;69%, "GOOD", "POOR")</f>
        <v>GOOD</v>
      </c>
      <c r="H131" s="32" t="n">
        <v>1.9</v>
      </c>
      <c r="I131" s="32" t="n">
        <v>124</v>
      </c>
      <c r="J131" s="32" t="str">
        <f aca="false" t="array" ref="J131:J131">_xlfn.IFS(I131&gt;299,"High HP",I131&gt;99,"Medium HP",I131&lt;100,"Low HP")</f>
        <v>Medium HP</v>
      </c>
      <c r="K131" s="32" t="s">
        <v>42</v>
      </c>
      <c r="L131" s="32" t="n">
        <v>31</v>
      </c>
      <c r="M131" s="32" t="n">
        <v>49.86577367</v>
      </c>
      <c r="N131" s="32" t="n">
        <v>102.4</v>
      </c>
      <c r="O131" s="32" t="n">
        <v>66.4</v>
      </c>
      <c r="P131" s="32" t="n">
        <v>176.9</v>
      </c>
      <c r="Q131" s="32" t="n">
        <v>2.452</v>
      </c>
      <c r="R131" s="32" t="n">
        <v>12.1</v>
      </c>
      <c r="S131" s="33" t="n">
        <v>40558</v>
      </c>
    </row>
    <row r="132" customFormat="false" ht="16.15" hidden="false" customHeight="false" outlineLevel="0" collapsed="false">
      <c r="A132" s="27" t="s">
        <v>188</v>
      </c>
      <c r="B132" s="28" t="s">
        <v>192</v>
      </c>
      <c r="C132" s="29" t="n">
        <v>8472</v>
      </c>
      <c r="D132" s="30" t="n">
        <v>18835</v>
      </c>
      <c r="E132" s="30" t="n">
        <v>13700</v>
      </c>
      <c r="F132" s="31" t="n">
        <f aca="false">SUM(E132/D132)</f>
        <v>0.727369259357579</v>
      </c>
      <c r="G132" s="31" t="str">
        <f aca="false">IF(F132&gt;69%, "GOOD", "POOR")</f>
        <v>GOOD</v>
      </c>
      <c r="H132" s="32" t="n">
        <v>2.2</v>
      </c>
      <c r="I132" s="32" t="n">
        <v>137</v>
      </c>
      <c r="J132" s="32" t="str">
        <f aca="false" t="array" ref="J132:J132">_xlfn.IFS(I132&gt;299,"High HP",I132&gt;99,"Medium HP",I132&lt;100,"Low HP")</f>
        <v>Medium HP</v>
      </c>
      <c r="K132" s="32" t="s">
        <v>42</v>
      </c>
      <c r="L132" s="32" t="n">
        <v>27</v>
      </c>
      <c r="M132" s="32" t="n">
        <v>56.29524304</v>
      </c>
      <c r="N132" s="32" t="n">
        <v>106.5</v>
      </c>
      <c r="O132" s="32" t="n">
        <v>69</v>
      </c>
      <c r="P132" s="32" t="n">
        <v>190.4</v>
      </c>
      <c r="Q132" s="32" t="n">
        <v>3.075</v>
      </c>
      <c r="R132" s="32" t="n">
        <v>13.1</v>
      </c>
      <c r="S132" s="33" t="n">
        <v>40760</v>
      </c>
    </row>
    <row r="133" customFormat="false" ht="16.15" hidden="false" customHeight="false" outlineLevel="0" collapsed="false">
      <c r="A133" s="27" t="s">
        <v>188</v>
      </c>
      <c r="B133" s="28" t="s">
        <v>193</v>
      </c>
      <c r="C133" s="29" t="n">
        <v>49989</v>
      </c>
      <c r="D133" s="30" t="n">
        <v>15010</v>
      </c>
      <c r="E133" s="30" t="n">
        <v>9900</v>
      </c>
      <c r="F133" s="31" t="n">
        <f aca="false">SUM(E133/D133)</f>
        <v>0.659560293137908</v>
      </c>
      <c r="G133" s="31" t="str">
        <f aca="false">IF(F133&gt;69%, "GOOD", "POOR")</f>
        <v>POOR</v>
      </c>
      <c r="H133" s="32" t="n">
        <v>2.2</v>
      </c>
      <c r="I133" s="32" t="n">
        <v>137</v>
      </c>
      <c r="J133" s="32" t="str">
        <f aca="false" t="array" ref="J133:J133">_xlfn.IFS(I133&gt;299,"High HP",I133&gt;99,"Medium HP",I133&lt;100,"Low HP")</f>
        <v>Medium HP</v>
      </c>
      <c r="K133" s="32" t="s">
        <v>42</v>
      </c>
      <c r="L133" s="32" t="n">
        <v>28</v>
      </c>
      <c r="M133" s="32" t="n">
        <v>54.81972825</v>
      </c>
      <c r="N133" s="32" t="n">
        <v>106.5</v>
      </c>
      <c r="O133" s="32" t="n">
        <v>69</v>
      </c>
      <c r="P133" s="32" t="n">
        <v>190.4</v>
      </c>
      <c r="Q133" s="32" t="n">
        <v>2.91</v>
      </c>
      <c r="R133" s="32" t="n">
        <v>13.1</v>
      </c>
      <c r="S133" s="33" t="n">
        <v>41247</v>
      </c>
    </row>
    <row r="134" customFormat="false" ht="16.15" hidden="false" customHeight="false" outlineLevel="0" collapsed="false">
      <c r="A134" s="27" t="s">
        <v>8</v>
      </c>
      <c r="B134" s="28" t="s">
        <v>194</v>
      </c>
      <c r="C134" s="29" t="n">
        <v>47107</v>
      </c>
      <c r="D134" s="30" t="n">
        <v>22695</v>
      </c>
      <c r="E134" s="30" t="n">
        <v>16770</v>
      </c>
      <c r="F134" s="31" t="n">
        <f aca="false">SUM(E134/D134)</f>
        <v>0.738929279576999</v>
      </c>
      <c r="G134" s="31" t="str">
        <f aca="false">IF(F134&gt;69%, "GOOD", "POOR")</f>
        <v>GOOD</v>
      </c>
      <c r="H134" s="32" t="n">
        <v>2.5</v>
      </c>
      <c r="I134" s="32" t="n">
        <v>165</v>
      </c>
      <c r="J134" s="32" t="str">
        <f aca="false" t="array" ref="J134:J134">_xlfn.IFS(I134&gt;299,"High HP",I134&gt;99,"Medium HP",I134&lt;100,"Low HP")</f>
        <v>Medium HP</v>
      </c>
      <c r="K134" s="32" t="s">
        <v>42</v>
      </c>
      <c r="L134" s="32" t="n">
        <v>25</v>
      </c>
      <c r="M134" s="32" t="n">
        <v>67.7659076</v>
      </c>
      <c r="N134" s="32" t="n">
        <v>103.5</v>
      </c>
      <c r="O134" s="32" t="n">
        <v>67.5</v>
      </c>
      <c r="P134" s="32" t="n">
        <v>185.8</v>
      </c>
      <c r="Q134" s="32" t="n">
        <v>3.415</v>
      </c>
      <c r="R134" s="32" t="n">
        <v>16.9</v>
      </c>
      <c r="S134" s="33" t="n">
        <v>40731</v>
      </c>
    </row>
    <row r="135" customFormat="false" ht="16.15" hidden="false" customHeight="false" outlineLevel="0" collapsed="false">
      <c r="A135" s="27" t="s">
        <v>8</v>
      </c>
      <c r="B135" s="28" t="s">
        <v>195</v>
      </c>
      <c r="C135" s="29" t="n">
        <v>33028</v>
      </c>
      <c r="D135" s="30" t="n">
        <v>20095</v>
      </c>
      <c r="E135" s="30" t="n">
        <v>14832</v>
      </c>
      <c r="F135" s="31" t="n">
        <f aca="false">SUM(E135/D135)</f>
        <v>0.738094053247076</v>
      </c>
      <c r="G135" s="31" t="str">
        <f aca="false">IF(F135&gt;69%, "GOOD", "POOR")</f>
        <v>GOOD</v>
      </c>
      <c r="H135" s="32" t="n">
        <v>2.5</v>
      </c>
      <c r="I135" s="32" t="n">
        <v>165</v>
      </c>
      <c r="J135" s="32" t="str">
        <f aca="false" t="array" ref="J135:J135">_xlfn.IFS(I135&gt;299,"High HP",I135&gt;99,"Medium HP",I135&lt;100,"Low HP")</f>
        <v>Medium HP</v>
      </c>
      <c r="K135" s="32" t="s">
        <v>64</v>
      </c>
      <c r="L135" s="32" t="n">
        <v>24</v>
      </c>
      <c r="M135" s="32" t="n">
        <v>66.76294331</v>
      </c>
      <c r="N135" s="32" t="n">
        <v>99.4</v>
      </c>
      <c r="O135" s="32" t="n">
        <v>68.3</v>
      </c>
      <c r="P135" s="32" t="n">
        <v>175.2</v>
      </c>
      <c r="Q135" s="32" t="n">
        <v>3.125</v>
      </c>
      <c r="R135" s="32" t="n">
        <v>15.9</v>
      </c>
      <c r="S135" s="33" t="n">
        <v>41162</v>
      </c>
    </row>
    <row r="136" customFormat="false" ht="16.15" hidden="false" customHeight="false" outlineLevel="0" collapsed="false">
      <c r="A136" s="27" t="s">
        <v>9</v>
      </c>
      <c r="B136" s="28" t="s">
        <v>17</v>
      </c>
      <c r="C136" s="29" t="n">
        <v>142535</v>
      </c>
      <c r="D136" s="30" t="n">
        <v>13108</v>
      </c>
      <c r="E136" s="30" t="n">
        <v>10025</v>
      </c>
      <c r="F136" s="31" t="n">
        <f aca="false">SUM(E136/D136)</f>
        <v>0.764800122062862</v>
      </c>
      <c r="G136" s="31" t="str">
        <f aca="false">IF(F136&gt;69%, "GOOD", "POOR")</f>
        <v>GOOD</v>
      </c>
      <c r="H136" s="32" t="n">
        <v>1.8</v>
      </c>
      <c r="I136" s="32" t="n">
        <v>120</v>
      </c>
      <c r="J136" s="32" t="str">
        <f aca="false" t="array" ref="J136:J136">_xlfn.IFS(I136&gt;299,"High HP",I136&gt;99,"Medium HP",I136&lt;100,"Low HP")</f>
        <v>Medium HP</v>
      </c>
      <c r="K136" s="32" t="s">
        <v>42</v>
      </c>
      <c r="L136" s="32" t="n">
        <v>33</v>
      </c>
      <c r="M136" s="32" t="n">
        <v>47.96897242</v>
      </c>
      <c r="N136" s="32" t="n">
        <v>97</v>
      </c>
      <c r="O136" s="32" t="n">
        <v>66.7</v>
      </c>
      <c r="P136" s="32" t="n">
        <v>174</v>
      </c>
      <c r="Q136" s="32" t="n">
        <v>2.42</v>
      </c>
      <c r="R136" s="32" t="n">
        <v>13.2</v>
      </c>
      <c r="S136" s="33" t="n">
        <v>40644</v>
      </c>
    </row>
    <row r="137" customFormat="false" ht="16.15" hidden="false" customHeight="false" outlineLevel="0" collapsed="false">
      <c r="A137" s="27" t="s">
        <v>9</v>
      </c>
      <c r="B137" s="28" t="s">
        <v>15</v>
      </c>
      <c r="C137" s="29" t="n">
        <v>247994</v>
      </c>
      <c r="D137" s="30" t="n">
        <v>17518</v>
      </c>
      <c r="E137" s="30" t="n">
        <v>13245</v>
      </c>
      <c r="F137" s="31" t="n">
        <f aca="false">SUM(E137/D137)</f>
        <v>0.756079461125699</v>
      </c>
      <c r="G137" s="31" t="str">
        <f aca="false">IF(F137&gt;69%, "GOOD", "POOR")</f>
        <v>GOOD</v>
      </c>
      <c r="H137" s="32" t="n">
        <v>2.2</v>
      </c>
      <c r="I137" s="32" t="n">
        <v>133</v>
      </c>
      <c r="J137" s="32" t="str">
        <f aca="false" t="array" ref="J137:J137">_xlfn.IFS(I137&gt;299,"High HP",I137&gt;99,"Medium HP",I137&lt;100,"Low HP")</f>
        <v>Medium HP</v>
      </c>
      <c r="K137" s="32" t="s">
        <v>42</v>
      </c>
      <c r="L137" s="32" t="n">
        <v>27</v>
      </c>
      <c r="M137" s="32" t="n">
        <v>54.37241965</v>
      </c>
      <c r="N137" s="32" t="n">
        <v>105.2</v>
      </c>
      <c r="O137" s="32" t="n">
        <v>70.1</v>
      </c>
      <c r="P137" s="32" t="n">
        <v>188.5</v>
      </c>
      <c r="Q137" s="32" t="n">
        <v>2.998</v>
      </c>
      <c r="R137" s="32" t="n">
        <v>18.5</v>
      </c>
      <c r="S137" s="33" t="n">
        <v>40584</v>
      </c>
    </row>
    <row r="138" customFormat="false" ht="16.15" hidden="false" customHeight="false" outlineLevel="0" collapsed="false">
      <c r="A138" s="27" t="s">
        <v>9</v>
      </c>
      <c r="B138" s="28" t="s">
        <v>14</v>
      </c>
      <c r="C138" s="29" t="n">
        <v>63849</v>
      </c>
      <c r="D138" s="30" t="n">
        <v>25545</v>
      </c>
      <c r="E138" s="30" t="n">
        <v>18140</v>
      </c>
      <c r="F138" s="31" t="n">
        <f aca="false">SUM(E138/D138)</f>
        <v>0.710119397142298</v>
      </c>
      <c r="G138" s="31" t="str">
        <f aca="false">IF(F138&gt;69%, "GOOD", "POOR")</f>
        <v>GOOD</v>
      </c>
      <c r="H138" s="32" t="n">
        <v>3</v>
      </c>
      <c r="I138" s="32" t="n">
        <v>210</v>
      </c>
      <c r="J138" s="32" t="str">
        <f aca="false" t="array" ref="J138:J138">_xlfn.IFS(I138&gt;299,"High HP",I138&gt;99,"Medium HP",I138&lt;100,"Low HP")</f>
        <v>Medium HP</v>
      </c>
      <c r="K138" s="32" t="s">
        <v>42</v>
      </c>
      <c r="L138" s="32" t="n">
        <v>26</v>
      </c>
      <c r="M138" s="32" t="n">
        <v>84.91189826</v>
      </c>
      <c r="N138" s="32" t="n">
        <v>107.1</v>
      </c>
      <c r="O138" s="32" t="n">
        <v>71.7</v>
      </c>
      <c r="P138" s="32" t="n">
        <v>191.9</v>
      </c>
      <c r="Q138" s="32" t="n">
        <v>3.417</v>
      </c>
      <c r="R138" s="32" t="n">
        <v>18.5</v>
      </c>
      <c r="S138" s="33" t="n">
        <v>40786</v>
      </c>
    </row>
    <row r="139" customFormat="false" ht="16.15" hidden="false" customHeight="false" outlineLevel="0" collapsed="false">
      <c r="A139" s="27" t="s">
        <v>9</v>
      </c>
      <c r="B139" s="28" t="s">
        <v>16</v>
      </c>
      <c r="C139" s="29" t="n">
        <v>33269</v>
      </c>
      <c r="D139" s="30" t="n">
        <v>16875</v>
      </c>
      <c r="E139" s="30" t="n">
        <v>15445</v>
      </c>
      <c r="F139" s="31" t="n">
        <f aca="false">SUM(E139/D139)</f>
        <v>0.915259259259259</v>
      </c>
      <c r="G139" s="31" t="str">
        <f aca="false">IF(F139&gt;69%, "GOOD", "POOR")</f>
        <v>GOOD</v>
      </c>
      <c r="H139" s="32" t="n">
        <v>1.8</v>
      </c>
      <c r="I139" s="32" t="n">
        <v>140</v>
      </c>
      <c r="J139" s="32" t="str">
        <f aca="false" t="array" ref="J139:J139">_xlfn.IFS(I139&gt;299,"High HP",I139&gt;99,"Medium HP",I139&lt;100,"Low HP")</f>
        <v>Medium HP</v>
      </c>
      <c r="K139" s="32" t="s">
        <v>42</v>
      </c>
      <c r="L139" s="32" t="n">
        <v>31</v>
      </c>
      <c r="M139" s="32" t="n">
        <v>56.49603034</v>
      </c>
      <c r="N139" s="32" t="n">
        <v>102.4</v>
      </c>
      <c r="O139" s="32" t="n">
        <v>68.3</v>
      </c>
      <c r="P139" s="32" t="n">
        <v>170.5</v>
      </c>
      <c r="Q139" s="32" t="n">
        <v>2.425</v>
      </c>
      <c r="R139" s="32" t="n">
        <v>14.5</v>
      </c>
      <c r="S139" s="33" t="n">
        <v>41272</v>
      </c>
    </row>
    <row r="140" customFormat="false" ht="16.15" hidden="false" customHeight="false" outlineLevel="0" collapsed="false">
      <c r="A140" s="27" t="s">
        <v>9</v>
      </c>
      <c r="B140" s="28" t="s">
        <v>21</v>
      </c>
      <c r="C140" s="29" t="n">
        <v>84087</v>
      </c>
      <c r="D140" s="30" t="n">
        <v>11528</v>
      </c>
      <c r="E140" s="30" t="n">
        <v>9575</v>
      </c>
      <c r="F140" s="31" t="n">
        <f aca="false">SUM(E140/D140)</f>
        <v>0.83058639833449</v>
      </c>
      <c r="G140" s="31" t="str">
        <f aca="false">IF(F140&gt;69%, "GOOD", "POOR")</f>
        <v>GOOD</v>
      </c>
      <c r="H140" s="32" t="n">
        <v>2.4</v>
      </c>
      <c r="I140" s="32" t="n">
        <v>142</v>
      </c>
      <c r="J140" s="32" t="str">
        <f aca="false" t="array" ref="J140:J140">_xlfn.IFS(I140&gt;299,"High HP",I140&gt;99,"Medium HP",I140&lt;100,"Low HP")</f>
        <v>Medium HP</v>
      </c>
      <c r="K140" s="32" t="s">
        <v>64</v>
      </c>
      <c r="L140" s="32" t="n">
        <v>23</v>
      </c>
      <c r="M140" s="32" t="n">
        <v>55.29711658</v>
      </c>
      <c r="N140" s="32" t="n">
        <v>103.3</v>
      </c>
      <c r="O140" s="32" t="n">
        <v>66.5</v>
      </c>
      <c r="P140" s="32" t="n">
        <v>178.7</v>
      </c>
      <c r="Q140" s="32" t="n">
        <v>2.58</v>
      </c>
      <c r="R140" s="32" t="n">
        <v>15.1</v>
      </c>
      <c r="S140" s="33" t="n">
        <v>40756</v>
      </c>
    </row>
    <row r="141" customFormat="false" ht="16.15" hidden="false" customHeight="false" outlineLevel="0" collapsed="false">
      <c r="A141" s="27" t="s">
        <v>9</v>
      </c>
      <c r="B141" s="28" t="s">
        <v>20</v>
      </c>
      <c r="C141" s="29" t="n">
        <v>65119</v>
      </c>
      <c r="D141" s="30" t="n">
        <v>22368</v>
      </c>
      <c r="E141" s="30" t="n">
        <v>18689</v>
      </c>
      <c r="F141" s="31" t="n">
        <f aca="false">SUM(E141/D141)</f>
        <v>0.835523962804006</v>
      </c>
      <c r="G141" s="31" t="str">
        <f aca="false">IF(F141&gt;69%, "GOOD", "POOR")</f>
        <v>GOOD</v>
      </c>
      <c r="H141" s="32" t="n">
        <v>3</v>
      </c>
      <c r="I141" s="32" t="n">
        <v>194</v>
      </c>
      <c r="J141" s="32" t="str">
        <f aca="false" t="array" ref="J141:J141">_xlfn.IFS(I141&gt;299,"High HP",I141&gt;99,"Medium HP",I141&lt;100,"Low HP")</f>
        <v>Medium HP</v>
      </c>
      <c r="K141" s="32" t="s">
        <v>64</v>
      </c>
      <c r="L141" s="32" t="n">
        <v>22</v>
      </c>
      <c r="M141" s="32" t="n">
        <v>78.02721947</v>
      </c>
      <c r="N141" s="32" t="n">
        <v>114.2</v>
      </c>
      <c r="O141" s="32" t="n">
        <v>73.4</v>
      </c>
      <c r="P141" s="32" t="n">
        <v>193.5</v>
      </c>
      <c r="Q141" s="32" t="n">
        <v>3.759</v>
      </c>
      <c r="R141" s="32" t="n">
        <v>20.9</v>
      </c>
      <c r="S141" s="33" t="n">
        <v>41187</v>
      </c>
    </row>
    <row r="142" customFormat="false" ht="16.15" hidden="false" customHeight="false" outlineLevel="0" collapsed="false">
      <c r="A142" s="27" t="s">
        <v>9</v>
      </c>
      <c r="B142" s="28" t="s">
        <v>19</v>
      </c>
      <c r="C142" s="29" t="n">
        <v>25106</v>
      </c>
      <c r="D142" s="30" t="n">
        <v>16888</v>
      </c>
      <c r="E142" s="30" t="n">
        <v>13325</v>
      </c>
      <c r="F142" s="31" t="n">
        <f aca="false">SUM(E142/D142)</f>
        <v>0.789021790620559</v>
      </c>
      <c r="G142" s="31" t="str">
        <f aca="false">IF(F142&gt;69%, "GOOD", "POOR")</f>
        <v>GOOD</v>
      </c>
      <c r="H142" s="32" t="n">
        <v>2</v>
      </c>
      <c r="I142" s="32" t="n">
        <v>127</v>
      </c>
      <c r="J142" s="32" t="str">
        <f aca="false" t="array" ref="J142:J142">_xlfn.IFS(I142&gt;299,"High HP",I142&gt;99,"Medium HP",I142&lt;100,"Low HP")</f>
        <v>Medium HP</v>
      </c>
      <c r="K142" s="32" t="s">
        <v>64</v>
      </c>
      <c r="L142" s="32" t="n">
        <v>27</v>
      </c>
      <c r="M142" s="32" t="n">
        <v>51.95510887</v>
      </c>
      <c r="N142" s="32" t="n">
        <v>94.9</v>
      </c>
      <c r="O142" s="32" t="n">
        <v>66.7</v>
      </c>
      <c r="P142" s="32" t="n">
        <v>163.8</v>
      </c>
      <c r="Q142" s="32" t="n">
        <v>2.668</v>
      </c>
      <c r="R142" s="32" t="n">
        <v>15.3</v>
      </c>
      <c r="S142" s="33" t="n">
        <v>40669</v>
      </c>
    </row>
    <row r="143" customFormat="false" ht="16.15" hidden="false" customHeight="false" outlineLevel="0" collapsed="false">
      <c r="A143" s="27" t="s">
        <v>9</v>
      </c>
      <c r="B143" s="28" t="s">
        <v>13</v>
      </c>
      <c r="C143" s="29" t="n">
        <v>68411</v>
      </c>
      <c r="D143" s="30" t="n">
        <v>22288</v>
      </c>
      <c r="E143" s="30" t="n">
        <v>19425</v>
      </c>
      <c r="F143" s="31" t="n">
        <f aca="false">SUM(E143/D143)</f>
        <v>0.871545226130653</v>
      </c>
      <c r="G143" s="31" t="str">
        <f aca="false">IF(F143&gt;69%, "GOOD", "POOR")</f>
        <v>GOOD</v>
      </c>
      <c r="H143" s="32" t="n">
        <v>2.7</v>
      </c>
      <c r="I143" s="32" t="n">
        <v>150</v>
      </c>
      <c r="J143" s="32" t="str">
        <f aca="false" t="array" ref="J143:J143">_xlfn.IFS(I143&gt;299,"High HP",I143&gt;99,"Medium HP",I143&lt;100,"Low HP")</f>
        <v>Medium HP</v>
      </c>
      <c r="K143" s="32" t="s">
        <v>64</v>
      </c>
      <c r="L143" s="32" t="n">
        <v>23</v>
      </c>
      <c r="M143" s="32" t="n">
        <v>62.35557713</v>
      </c>
      <c r="N143" s="32" t="n">
        <v>105.3</v>
      </c>
      <c r="O143" s="32" t="n">
        <v>66.5</v>
      </c>
      <c r="P143" s="32" t="n">
        <v>183.3</v>
      </c>
      <c r="Q143" s="32" t="n">
        <v>3.44</v>
      </c>
      <c r="R143" s="32" t="n">
        <v>18.5</v>
      </c>
      <c r="S143" s="33" t="n">
        <v>40609</v>
      </c>
    </row>
    <row r="144" customFormat="false" ht="16.15" hidden="false" customHeight="false" outlineLevel="0" collapsed="false">
      <c r="A144" s="27" t="s">
        <v>9</v>
      </c>
      <c r="B144" s="28" t="s">
        <v>18</v>
      </c>
      <c r="C144" s="29" t="n">
        <v>9835</v>
      </c>
      <c r="D144" s="30" t="n">
        <v>51728</v>
      </c>
      <c r="E144" s="30" t="n">
        <v>34080</v>
      </c>
      <c r="F144" s="31" t="n">
        <f aca="false">SUM(E144/D144)</f>
        <v>0.658830807299722</v>
      </c>
      <c r="G144" s="31" t="str">
        <f aca="false">IF(F144&gt;69%, "GOOD", "POOR")</f>
        <v>POOR</v>
      </c>
      <c r="H144" s="32" t="n">
        <v>4.7</v>
      </c>
      <c r="I144" s="32" t="n">
        <v>230</v>
      </c>
      <c r="J144" s="32" t="str">
        <f aca="false" t="array" ref="J144:J144">_xlfn.IFS(I144&gt;299,"High HP",I144&gt;99,"Medium HP",I144&lt;100,"Low HP")</f>
        <v>Medium HP</v>
      </c>
      <c r="K144" s="32" t="s">
        <v>64</v>
      </c>
      <c r="L144" s="32" t="n">
        <v>15</v>
      </c>
      <c r="M144" s="32" t="n">
        <v>102.5289842</v>
      </c>
      <c r="N144" s="32" t="n">
        <v>112.2</v>
      </c>
      <c r="O144" s="32" t="n">
        <v>76.4</v>
      </c>
      <c r="P144" s="32" t="n">
        <v>192.5</v>
      </c>
      <c r="Q144" s="32" t="n">
        <v>5.115</v>
      </c>
      <c r="R144" s="32" t="n">
        <v>25.4</v>
      </c>
      <c r="S144" s="33" t="n">
        <v>40811</v>
      </c>
    </row>
    <row r="145" customFormat="false" ht="16.15" hidden="false" customHeight="false" outlineLevel="0" collapsed="false">
      <c r="A145" s="27" t="s">
        <v>196</v>
      </c>
      <c r="B145" s="28" t="s">
        <v>197</v>
      </c>
      <c r="C145" s="29" t="n">
        <v>9761</v>
      </c>
      <c r="D145" s="30" t="n">
        <v>14900</v>
      </c>
      <c r="E145" s="30" t="n">
        <v>11425</v>
      </c>
      <c r="F145" s="31" t="n">
        <f aca="false">SUM(E145/D145)</f>
        <v>0.766778523489933</v>
      </c>
      <c r="G145" s="31" t="str">
        <f aca="false">IF(F145&gt;69%, "GOOD", "POOR")</f>
        <v>GOOD</v>
      </c>
      <c r="H145" s="32" t="n">
        <v>2</v>
      </c>
      <c r="I145" s="32" t="n">
        <v>115</v>
      </c>
      <c r="J145" s="32" t="str">
        <f aca="false" t="array" ref="J145:J145">_xlfn.IFS(I145&gt;299,"High HP",I145&gt;99,"Medium HP",I145&lt;100,"Low HP")</f>
        <v>Medium HP</v>
      </c>
      <c r="K145" s="32" t="s">
        <v>42</v>
      </c>
      <c r="L145" s="32" t="n">
        <v>26</v>
      </c>
      <c r="M145" s="32" t="n">
        <v>46.94387676</v>
      </c>
      <c r="N145" s="32" t="n">
        <v>98.9</v>
      </c>
      <c r="O145" s="32" t="n">
        <v>68.3</v>
      </c>
      <c r="P145" s="32" t="n">
        <v>163.3</v>
      </c>
      <c r="Q145" s="32" t="n">
        <v>2.767</v>
      </c>
      <c r="R145" s="32" t="n">
        <v>14.5</v>
      </c>
      <c r="S145" s="33" t="n">
        <v>40567</v>
      </c>
    </row>
    <row r="146" customFormat="false" ht="16.15" hidden="false" customHeight="false" outlineLevel="0" collapsed="false">
      <c r="A146" s="27" t="s">
        <v>196</v>
      </c>
      <c r="B146" s="28" t="s">
        <v>198</v>
      </c>
      <c r="C146" s="29" t="n">
        <v>83721</v>
      </c>
      <c r="D146" s="30" t="n">
        <v>16700</v>
      </c>
      <c r="E146" s="30" t="n">
        <v>13240</v>
      </c>
      <c r="F146" s="31" t="n">
        <f aca="false">SUM(E146/D146)</f>
        <v>0.792814371257485</v>
      </c>
      <c r="G146" s="31" t="str">
        <f aca="false">IF(F146&gt;69%, "GOOD", "POOR")</f>
        <v>GOOD</v>
      </c>
      <c r="H146" s="32" t="n">
        <v>2</v>
      </c>
      <c r="I146" s="32" t="n">
        <v>115</v>
      </c>
      <c r="J146" s="32" t="str">
        <f aca="false" t="array" ref="J146:J146">_xlfn.IFS(I146&gt;299,"High HP",I146&gt;99,"Medium HP",I146&lt;100,"Low HP")</f>
        <v>Medium HP</v>
      </c>
      <c r="K146" s="32" t="s">
        <v>42</v>
      </c>
      <c r="L146" s="32" t="n">
        <v>26</v>
      </c>
      <c r="M146" s="32" t="n">
        <v>47.63823666</v>
      </c>
      <c r="N146" s="32" t="n">
        <v>98.9</v>
      </c>
      <c r="O146" s="32" t="n">
        <v>68.3</v>
      </c>
      <c r="P146" s="32" t="n">
        <v>172.3</v>
      </c>
      <c r="Q146" s="32" t="n">
        <v>2.853</v>
      </c>
      <c r="R146" s="32" t="n">
        <v>14.5</v>
      </c>
      <c r="S146" s="33" t="n">
        <v>40782</v>
      </c>
    </row>
    <row r="147" customFormat="false" ht="16.15" hidden="false" customHeight="false" outlineLevel="0" collapsed="false">
      <c r="A147" s="27" t="s">
        <v>196</v>
      </c>
      <c r="B147" s="28" t="s">
        <v>199</v>
      </c>
      <c r="C147" s="29" t="n">
        <v>51102</v>
      </c>
      <c r="D147" s="30" t="n">
        <v>21200</v>
      </c>
      <c r="E147" s="30" t="n">
        <v>16725</v>
      </c>
      <c r="F147" s="31" t="n">
        <f aca="false">SUM(E147/D147)</f>
        <v>0.788915094339623</v>
      </c>
      <c r="G147" s="31" t="str">
        <f aca="false">IF(F147&gt;69%, "GOOD", "POOR")</f>
        <v>GOOD</v>
      </c>
      <c r="H147" s="32" t="n">
        <v>1.8</v>
      </c>
      <c r="I147" s="32" t="n">
        <v>150</v>
      </c>
      <c r="J147" s="32" t="str">
        <f aca="false" t="array" ref="J147:J147">_xlfn.IFS(I147&gt;299,"High HP",I147&gt;99,"Medium HP",I147&lt;100,"Low HP")</f>
        <v>Medium HP</v>
      </c>
      <c r="K147" s="32" t="s">
        <v>42</v>
      </c>
      <c r="L147" s="32" t="n">
        <v>27</v>
      </c>
      <c r="M147" s="32" t="n">
        <v>61.70138136</v>
      </c>
      <c r="N147" s="32" t="n">
        <v>106.4</v>
      </c>
      <c r="O147" s="32" t="n">
        <v>68.5</v>
      </c>
      <c r="P147" s="32" t="n">
        <v>184.1</v>
      </c>
      <c r="Q147" s="32" t="n">
        <v>3.043</v>
      </c>
      <c r="R147" s="32" t="n">
        <v>16.4</v>
      </c>
      <c r="S147" s="33" t="n">
        <v>41212</v>
      </c>
    </row>
    <row r="148" customFormat="false" ht="16.15" hidden="false" customHeight="false" outlineLevel="0" collapsed="false">
      <c r="A148" s="27" t="s">
        <v>196</v>
      </c>
      <c r="B148" s="28" t="s">
        <v>200</v>
      </c>
      <c r="C148" s="29" t="n">
        <v>9569</v>
      </c>
      <c r="D148" s="30" t="n">
        <v>19990</v>
      </c>
      <c r="E148" s="30" t="n">
        <v>16575</v>
      </c>
      <c r="F148" s="31" t="n">
        <f aca="false">SUM(E148/D148)</f>
        <v>0.829164582291146</v>
      </c>
      <c r="G148" s="31" t="str">
        <f aca="false">IF(F148&gt;69%, "GOOD", "POOR")</f>
        <v>GOOD</v>
      </c>
      <c r="H148" s="32" t="n">
        <v>2</v>
      </c>
      <c r="I148" s="32" t="n">
        <v>115</v>
      </c>
      <c r="J148" s="32" t="str">
        <f aca="false" t="array" ref="J148:J148">_xlfn.IFS(I148&gt;299,"High HP",I148&gt;99,"Medium HP",I148&lt;100,"Low HP")</f>
        <v>Medium HP</v>
      </c>
      <c r="K148" s="32" t="s">
        <v>42</v>
      </c>
      <c r="L148" s="32" t="n">
        <v>26</v>
      </c>
      <c r="M148" s="32" t="n">
        <v>48.90737225</v>
      </c>
      <c r="N148" s="32" t="n">
        <v>97.4</v>
      </c>
      <c r="O148" s="32" t="n">
        <v>66.7</v>
      </c>
      <c r="P148" s="32" t="n">
        <v>160.4</v>
      </c>
      <c r="Q148" s="32" t="n">
        <v>3.079</v>
      </c>
      <c r="R148" s="32" t="n">
        <v>13.7</v>
      </c>
      <c r="S148" s="33" t="n">
        <v>40694</v>
      </c>
    </row>
    <row r="149" customFormat="false" ht="16.15" hidden="false" customHeight="false" outlineLevel="0" collapsed="false">
      <c r="A149" s="27" t="s">
        <v>196</v>
      </c>
      <c r="B149" s="28" t="s">
        <v>201</v>
      </c>
      <c r="C149" s="29" t="n">
        <v>5596</v>
      </c>
      <c r="D149" s="30" t="n">
        <v>17500</v>
      </c>
      <c r="E149" s="30" t="n">
        <v>13760</v>
      </c>
      <c r="F149" s="31" t="n">
        <f aca="false">SUM(E149/D149)</f>
        <v>0.786285714285714</v>
      </c>
      <c r="G149" s="31" t="str">
        <f aca="false">IF(F149&gt;69%, "GOOD", "POOR")</f>
        <v>GOOD</v>
      </c>
      <c r="H149" s="32" t="n">
        <v>2</v>
      </c>
      <c r="I149" s="32" t="n">
        <v>115</v>
      </c>
      <c r="J149" s="32" t="str">
        <f aca="false" t="array" ref="J149:J149">_xlfn.IFS(I149&gt;299,"High HP",I149&gt;99,"Medium HP",I149&lt;100,"Low HP")</f>
        <v>Medium HP</v>
      </c>
      <c r="K149" s="32" t="s">
        <v>42</v>
      </c>
      <c r="L149" s="32" t="n">
        <v>26</v>
      </c>
      <c r="M149" s="32" t="n">
        <v>47.94684106</v>
      </c>
      <c r="N149" s="32" t="n">
        <v>98.9</v>
      </c>
      <c r="O149" s="32" t="n">
        <v>68.3</v>
      </c>
      <c r="P149" s="32" t="n">
        <v>163.3</v>
      </c>
      <c r="Q149" s="32" t="n">
        <v>2.762</v>
      </c>
      <c r="R149" s="32" t="n">
        <v>14.6</v>
      </c>
      <c r="S149" s="33" t="n">
        <v>40634</v>
      </c>
    </row>
    <row r="150" customFormat="false" ht="16.15" hidden="false" customHeight="false" outlineLevel="0" collapsed="false">
      <c r="A150" s="27" t="s">
        <v>196</v>
      </c>
      <c r="B150" s="28" t="s">
        <v>202</v>
      </c>
      <c r="C150" s="29" t="n">
        <v>49463</v>
      </c>
      <c r="D150" s="30" t="n">
        <v>15900</v>
      </c>
      <c r="E150" s="30" t="n">
        <v>11986</v>
      </c>
      <c r="F150" s="31" t="n">
        <f aca="false">SUM(E150/D150)</f>
        <v>0.753836477987421</v>
      </c>
      <c r="G150" s="31" t="str">
        <f aca="false">IF(F150&gt;69%, "GOOD", "POOR")</f>
        <v>GOOD</v>
      </c>
      <c r="H150" s="32" t="n">
        <v>2</v>
      </c>
      <c r="I150" s="32" t="n">
        <v>115</v>
      </c>
      <c r="J150" s="32" t="str">
        <f aca="false" t="array" ref="J150:J150">_xlfn.IFS(I150&gt;299,"High HP",I150&gt;99,"Medium HP",I150&lt;100,"Low HP")</f>
        <v>Medium HP</v>
      </c>
      <c r="K150" s="32" t="s">
        <v>42</v>
      </c>
      <c r="L150" s="32" t="n">
        <v>26</v>
      </c>
      <c r="M150" s="32" t="n">
        <v>47.32963226</v>
      </c>
      <c r="N150" s="32" t="n">
        <v>98.9</v>
      </c>
      <c r="O150" s="32" t="n">
        <v>67.9</v>
      </c>
      <c r="P150" s="32" t="n">
        <v>161.1</v>
      </c>
      <c r="Q150" s="32" t="n">
        <v>2.769</v>
      </c>
      <c r="R150" s="32" t="n">
        <v>14.5</v>
      </c>
      <c r="S150" s="33" t="n">
        <v>40836</v>
      </c>
    </row>
    <row r="151" customFormat="false" ht="16.15" hidden="false" customHeight="false" outlineLevel="0" collapsed="false">
      <c r="A151" s="27" t="s">
        <v>203</v>
      </c>
      <c r="B151" s="28" t="s">
        <v>204</v>
      </c>
      <c r="C151" s="29" t="n">
        <v>16957</v>
      </c>
      <c r="D151" s="30" t="n">
        <v>23400</v>
      </c>
      <c r="E151" s="30" t="n">
        <v>14334</v>
      </c>
      <c r="F151" s="31" t="n">
        <f aca="false">SUM(E151/D151)</f>
        <v>0.612564102564103</v>
      </c>
      <c r="G151" s="31" t="str">
        <f aca="false">IF(F151&gt;69%, "GOOD", "POOR")</f>
        <v>POOR</v>
      </c>
      <c r="H151" s="32" t="n">
        <v>1.9</v>
      </c>
      <c r="I151" s="32" t="n">
        <v>160</v>
      </c>
      <c r="J151" s="32" t="str">
        <f aca="false" t="array" ref="J151:J151">_xlfn.IFS(I151&gt;299,"High HP",I151&gt;99,"Medium HP",I151&lt;100,"Low HP")</f>
        <v>Medium HP</v>
      </c>
      <c r="K151" s="32" t="s">
        <v>42</v>
      </c>
      <c r="L151" s="32" t="n">
        <v>25</v>
      </c>
      <c r="M151" s="32" t="n">
        <v>66.1130568</v>
      </c>
      <c r="N151" s="32" t="n">
        <v>100.5</v>
      </c>
      <c r="O151" s="32" t="n">
        <v>67.6</v>
      </c>
      <c r="P151" s="32" t="n">
        <v>176.6</v>
      </c>
      <c r="Q151" s="32" t="n">
        <v>2.998</v>
      </c>
      <c r="R151" s="32" t="n">
        <v>15.8</v>
      </c>
      <c r="S151" s="33" t="n">
        <v>40592</v>
      </c>
    </row>
    <row r="152" customFormat="false" ht="16.15" hidden="false" customHeight="false" outlineLevel="0" collapsed="false">
      <c r="A152" s="27" t="s">
        <v>203</v>
      </c>
      <c r="B152" s="28" t="s">
        <v>205</v>
      </c>
      <c r="C152" s="29" t="n">
        <v>3545</v>
      </c>
      <c r="D152" s="30" t="n">
        <v>24400</v>
      </c>
      <c r="E152" s="30" t="n">
        <v>15252</v>
      </c>
      <c r="F152" s="31" t="n">
        <f aca="false">SUM(E152/D152)</f>
        <v>0.625081967213115</v>
      </c>
      <c r="G152" s="31" t="str">
        <f aca="false">IF(F152&gt;69%, "GOOD", "POOR")</f>
        <v>POOR</v>
      </c>
      <c r="H152" s="32" t="n">
        <v>1.9</v>
      </c>
      <c r="I152" s="32" t="n">
        <v>160</v>
      </c>
      <c r="J152" s="32" t="str">
        <f aca="false" t="array" ref="J152:J152">_xlfn.IFS(I152&gt;299,"High HP",I152&gt;99,"Medium HP",I152&lt;100,"Low HP")</f>
        <v>Medium HP</v>
      </c>
      <c r="K152" s="32" t="s">
        <v>42</v>
      </c>
      <c r="L152" s="32" t="n">
        <v>25</v>
      </c>
      <c r="M152" s="32" t="n">
        <v>66.4988123</v>
      </c>
      <c r="N152" s="32" t="n">
        <v>100.5</v>
      </c>
      <c r="O152" s="32" t="n">
        <v>67.6</v>
      </c>
      <c r="P152" s="32" t="n">
        <v>176.6</v>
      </c>
      <c r="Q152" s="32" t="n">
        <v>3.042</v>
      </c>
      <c r="R152" s="32" t="n">
        <v>15.8</v>
      </c>
      <c r="S152" s="33" t="n">
        <v>40807</v>
      </c>
    </row>
    <row r="153" customFormat="false" ht="16.15" hidden="false" customHeight="false" outlineLevel="0" collapsed="false">
      <c r="A153" s="27" t="s">
        <v>203</v>
      </c>
      <c r="B153" s="28" t="s">
        <v>206</v>
      </c>
      <c r="C153" s="29" t="n">
        <v>15245</v>
      </c>
      <c r="D153" s="30" t="n">
        <v>27500</v>
      </c>
      <c r="E153" s="30" t="n">
        <v>18900</v>
      </c>
      <c r="F153" s="31" t="n">
        <f aca="false">SUM(E153/D153)</f>
        <v>0.687272727272727</v>
      </c>
      <c r="G153" s="31" t="str">
        <f aca="false">IF(F153&gt;69%, "GOOD", "POOR")</f>
        <v>POOR</v>
      </c>
      <c r="H153" s="32" t="n">
        <v>2.4</v>
      </c>
      <c r="I153" s="32" t="n">
        <v>168</v>
      </c>
      <c r="J153" s="32" t="str">
        <f aca="false" t="array" ref="J153:J153">_xlfn.IFS(I153&gt;299,"High HP",I153&gt;99,"Medium HP",I153&lt;100,"Low HP")</f>
        <v>Medium HP</v>
      </c>
      <c r="K153" s="32" t="s">
        <v>42</v>
      </c>
      <c r="L153" s="32" t="n">
        <v>25</v>
      </c>
      <c r="M153" s="32" t="n">
        <v>70.65449545</v>
      </c>
      <c r="N153" s="32" t="n">
        <v>104.9</v>
      </c>
      <c r="O153" s="32" t="n">
        <v>69.3</v>
      </c>
      <c r="P153" s="32" t="n">
        <v>185.9</v>
      </c>
      <c r="Q153" s="32" t="n">
        <v>3.208</v>
      </c>
      <c r="R153" s="32" t="n">
        <v>17.9</v>
      </c>
      <c r="S153" s="33" t="n">
        <v>41237</v>
      </c>
    </row>
    <row r="154" customFormat="false" ht="16.15" hidden="false" customHeight="false" outlineLevel="0" collapsed="false">
      <c r="A154" s="27" t="s">
        <v>203</v>
      </c>
      <c r="B154" s="28" t="s">
        <v>207</v>
      </c>
      <c r="C154" s="29" t="n">
        <v>17531</v>
      </c>
      <c r="D154" s="30" t="n">
        <v>28800</v>
      </c>
      <c r="E154" s="30" t="n">
        <v>20223</v>
      </c>
      <c r="F154" s="31" t="n">
        <f aca="false">SUM(E154/D154)</f>
        <v>0.7021875</v>
      </c>
      <c r="G154" s="31" t="str">
        <f aca="false">IF(F154&gt;69%, "GOOD", "POOR")</f>
        <v>GOOD</v>
      </c>
      <c r="H154" s="32" t="n">
        <v>2.4</v>
      </c>
      <c r="I154" s="32" t="n">
        <v>168</v>
      </c>
      <c r="J154" s="32" t="str">
        <f aca="false" t="array" ref="J154:J154">_xlfn.IFS(I154&gt;299,"High HP",I154&gt;99,"Medium HP",I154&lt;100,"Low HP")</f>
        <v>Medium HP</v>
      </c>
      <c r="K154" s="32" t="s">
        <v>42</v>
      </c>
      <c r="L154" s="32" t="n">
        <v>25</v>
      </c>
      <c r="M154" s="32" t="n">
        <v>71.1559776</v>
      </c>
      <c r="N154" s="32" t="n">
        <v>104.9</v>
      </c>
      <c r="O154" s="32" t="n">
        <v>69.3</v>
      </c>
      <c r="P154" s="32" t="n">
        <v>186.2</v>
      </c>
      <c r="Q154" s="32" t="n">
        <v>3.259</v>
      </c>
      <c r="R154" s="32" t="n">
        <v>17.9</v>
      </c>
      <c r="S154" s="33" t="n">
        <v>40719</v>
      </c>
    </row>
    <row r="155" customFormat="false" ht="16.15" hidden="false" customHeight="false" outlineLevel="0" collapsed="false">
      <c r="A155" s="27" t="s">
        <v>203</v>
      </c>
      <c r="B155" s="28" t="s">
        <v>208</v>
      </c>
      <c r="C155" s="29" t="n">
        <v>3493</v>
      </c>
      <c r="D155" s="30" t="n">
        <v>45500</v>
      </c>
      <c r="E155" s="30" t="n">
        <v>34175</v>
      </c>
      <c r="F155" s="31" t="n">
        <f aca="false">SUM(E155/D155)</f>
        <v>0.751098901098901</v>
      </c>
      <c r="G155" s="31" t="str">
        <f aca="false">IF(F155&gt;69%, "GOOD", "POOR")</f>
        <v>GOOD</v>
      </c>
      <c r="H155" s="32" t="n">
        <v>2.3</v>
      </c>
      <c r="I155" s="32" t="n">
        <v>236</v>
      </c>
      <c r="J155" s="32" t="str">
        <f aca="false" t="array" ref="J155:J155">_xlfn.IFS(I155&gt;299,"High HP",I155&gt;99,"Medium HP",I155&lt;100,"Low HP")</f>
        <v>Medium HP</v>
      </c>
      <c r="K155" s="32" t="s">
        <v>42</v>
      </c>
      <c r="L155" s="32" t="n">
        <v>23</v>
      </c>
      <c r="M155" s="32" t="n">
        <v>101.6233572</v>
      </c>
      <c r="N155" s="32" t="n">
        <v>104.9</v>
      </c>
      <c r="O155" s="32" t="n">
        <v>71.5</v>
      </c>
      <c r="P155" s="32" t="n">
        <v>185.7</v>
      </c>
      <c r="Q155" s="32" t="n">
        <v>3.601</v>
      </c>
      <c r="R155" s="32" t="n">
        <v>18.5</v>
      </c>
      <c r="S155" s="33" t="n">
        <v>40659</v>
      </c>
    </row>
    <row r="156" customFormat="false" ht="16.15" hidden="false" customHeight="false" outlineLevel="0" collapsed="false">
      <c r="A156" s="27" t="s">
        <v>203</v>
      </c>
      <c r="B156" s="28" t="s">
        <v>209</v>
      </c>
      <c r="C156" s="29" t="n">
        <v>18969</v>
      </c>
      <c r="D156" s="30" t="n">
        <v>36000</v>
      </c>
      <c r="E156" s="30" t="n">
        <v>26403</v>
      </c>
      <c r="F156" s="31" t="n">
        <f aca="false">SUM(E156/D156)</f>
        <v>0.733416666666667</v>
      </c>
      <c r="G156" s="31" t="str">
        <f aca="false">IF(F156&gt;69%, "GOOD", "POOR")</f>
        <v>GOOD</v>
      </c>
      <c r="H156" s="32" t="n">
        <v>2.9</v>
      </c>
      <c r="I156" s="32" t="n">
        <v>201</v>
      </c>
      <c r="J156" s="32" t="str">
        <f aca="false" t="array" ref="J156:J156">_xlfn.IFS(I156&gt;299,"High HP",I156&gt;99,"Medium HP",I156&lt;100,"Low HP")</f>
        <v>Medium HP</v>
      </c>
      <c r="K156" s="32" t="s">
        <v>42</v>
      </c>
      <c r="L156" s="32" t="n">
        <v>24</v>
      </c>
      <c r="M156" s="32" t="n">
        <v>85.73565451</v>
      </c>
      <c r="N156" s="32" t="n">
        <v>109.9</v>
      </c>
      <c r="O156" s="32" t="n">
        <v>72.1</v>
      </c>
      <c r="P156" s="32" t="n">
        <v>189.8</v>
      </c>
      <c r="Q156" s="32" t="n">
        <v>3.6</v>
      </c>
      <c r="R156" s="32" t="n">
        <v>21.1</v>
      </c>
      <c r="S156" s="33" t="n">
        <v>40861</v>
      </c>
    </row>
  </sheetData>
  <conditionalFormatting sqref="G2:G156">
    <cfRule type="containsText" priority="2" operator="containsText" aboveAverage="0" equalAverage="0" bottom="0" percent="0" rank="0" text="POOR" dxfId="13">
      <formula>NOT(ISERROR(SEARCH("POOR",G2)))</formula>
    </cfRule>
  </conditionalFormatting>
  <conditionalFormatting sqref="G2:G156">
    <cfRule type="containsText" priority="3" operator="containsText" aboveAverage="0" equalAverage="0" bottom="0" percent="0" rank="0" text="GOOD" dxfId="14">
      <formula>NOT(ISERROR(SEARCH("GOOD",G2)))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2020-05-21T14:49:04Z</dcterms:created>
  <dc:creator>Steve Ryan</dc:creator>
  <dc:description/>
  <dc:language>en-CA</dc:language>
  <cp:lastModifiedBy/>
  <dcterms:modified xsi:type="dcterms:W3CDTF">2025-12-10T15:40:42Z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