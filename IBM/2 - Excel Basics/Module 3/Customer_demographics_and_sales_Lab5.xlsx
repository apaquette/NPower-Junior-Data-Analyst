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Sheet1!$D$1:$BM$195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<sst xmlns="http://schemas.openxmlformats.org/spreadsheetml/2006/main" count="3453" uniqueCount="661">
  <si>
    <t xml:space="preserve">Customer_Name</t>
  </si>
  <si>
    <t xml:space="preserve">Customer_First_Name</t>
  </si>
  <si>
    <t xml:space="preserve">Customer_Last_Name</t>
  </si>
  <si>
    <t xml:space="preserve">Cust_Name</t>
  </si>
  <si>
    <t xml:space="preserve">Gender_Code</t>
  </si>
  <si>
    <t xml:space="preserve">Address1</t>
  </si>
  <si>
    <t xml:space="preserve">City</t>
  </si>
  <si>
    <t xml:space="preserve">State</t>
  </si>
  <si>
    <t xml:space="preserve">Country_Code</t>
  </si>
  <si>
    <t xml:space="preserve">Postal_Code</t>
  </si>
  <si>
    <t xml:space="preserve">Postal_Code_Plus4</t>
  </si>
  <si>
    <t xml:space="preserve">Address2</t>
  </si>
  <si>
    <t xml:space="preserve">Email_Address</t>
  </si>
  <si>
    <t xml:space="preserve">Phone_Number</t>
  </si>
  <si>
    <t xml:space="preserve">Creditcard_Type</t>
  </si>
  <si>
    <t xml:space="preserve">Locality</t>
  </si>
  <si>
    <t xml:space="preserve">Salesman_Id</t>
  </si>
  <si>
    <t xml:space="preserve">Nationality</t>
  </si>
  <si>
    <t xml:space="preserve">National_Id</t>
  </si>
  <si>
    <t xml:space="preserve">Creditcard_Number</t>
  </si>
  <si>
    <t xml:space="preserve">Driver_License</t>
  </si>
  <si>
    <t xml:space="preserve">Cust_Id</t>
  </si>
  <si>
    <t xml:space="preserve">Order_Id</t>
  </si>
  <si>
    <t xml:space="preserve">Order_Date</t>
  </si>
  <si>
    <t xml:space="preserve">Order_Time</t>
  </si>
  <si>
    <t xml:space="preserve">Freight_Charges</t>
  </si>
  <si>
    <t xml:space="preserve">Order_Salesman</t>
  </si>
  <si>
    <t xml:space="preserve">Order_Posted_Date</t>
  </si>
  <si>
    <t xml:space="preserve">Order_Ship_Date</t>
  </si>
  <si>
    <t xml:space="preserve">Age</t>
  </si>
  <si>
    <t xml:space="preserve">Order_Value</t>
  </si>
  <si>
    <t xml:space="preserve">T_Type</t>
  </si>
  <si>
    <t xml:space="preserve">Purchase_Touchpoint</t>
  </si>
  <si>
    <t xml:space="preserve">Purchase_Status</t>
  </si>
  <si>
    <t xml:space="preserve">Order_Type</t>
  </si>
  <si>
    <t xml:space="preserve">Generation</t>
  </si>
  <si>
    <t xml:space="preserve">Baby Food</t>
  </si>
  <si>
    <t xml:space="preserve">Diapers</t>
  </si>
  <si>
    <t xml:space="preserve">Formula</t>
  </si>
  <si>
    <t xml:space="preserve">Lotion</t>
  </si>
  <si>
    <t xml:space="preserve">Baby Wash</t>
  </si>
  <si>
    <t xml:space="preserve">Wipes</t>
  </si>
  <si>
    <t xml:space="preserve">Fresh Fruits</t>
  </si>
  <si>
    <t xml:space="preserve">Fresh Vegetables</t>
  </si>
  <si>
    <t xml:space="preserve">Beer</t>
  </si>
  <si>
    <t xml:space="preserve">Wine</t>
  </si>
  <si>
    <t xml:space="preserve">Club Soda</t>
  </si>
  <si>
    <t xml:space="preserve">Sports Drink</t>
  </si>
  <si>
    <t xml:space="preserve">Chips</t>
  </si>
  <si>
    <t xml:space="preserve">Popcorn</t>
  </si>
  <si>
    <t xml:space="preserve">Oatmeal</t>
  </si>
  <si>
    <t xml:space="preserve">Medicines</t>
  </si>
  <si>
    <t xml:space="preserve">Canned Foods</t>
  </si>
  <si>
    <t xml:space="preserve">Cigarettes</t>
  </si>
  <si>
    <t xml:space="preserve">Cheese</t>
  </si>
  <si>
    <t xml:space="preserve">Cleaning Products</t>
  </si>
  <si>
    <t xml:space="preserve">Condiments</t>
  </si>
  <si>
    <t xml:space="preserve">Frozen Foods</t>
  </si>
  <si>
    <t xml:space="preserve">Kitchen Items</t>
  </si>
  <si>
    <t xml:space="preserve">Meat</t>
  </si>
  <si>
    <t xml:space="preserve">Office Supplies</t>
  </si>
  <si>
    <t xml:space="preserve">Personal Care</t>
  </si>
  <si>
    <t xml:space="preserve">Pet Supplies</t>
  </si>
  <si>
    <t xml:space="preserve">Sea Food</t>
  </si>
  <si>
    <t xml:space="preserve">Spices</t>
  </si>
  <si>
    <t xml:space="preserve">Allen Perl </t>
  </si>
  <si>
    <t xml:space="preserve">Mr.</t>
  </si>
  <si>
    <t xml:space="preserve">4707 Hillcrest Lane</t>
  </si>
  <si>
    <t xml:space="preserve">Abeto</t>
  </si>
  <si>
    <t xml:space="preserve">PG</t>
  </si>
  <si>
    <t xml:space="preserve">IT</t>
  </si>
  <si>
    <t xml:space="preserve">Allen.M.Perl@spambob.com</t>
  </si>
  <si>
    <t xml:space="preserve">0370 4762239</t>
  </si>
  <si>
    <t xml:space="preserve">Master Card</t>
  </si>
  <si>
    <t xml:space="preserve">RP385 </t>
  </si>
  <si>
    <t xml:space="preserve">U.S.</t>
  </si>
  <si>
    <t xml:space="preserve">NC298 </t>
  </si>
  <si>
    <t xml:space="preserve">complete</t>
  </si>
  <si>
    <t xml:space="preserve">Phone</t>
  </si>
  <si>
    <t xml:space="preserve">Frequent</t>
  </si>
  <si>
    <t xml:space="preserve">MediumValue</t>
  </si>
  <si>
    <t xml:space="preserve">GEN_Y</t>
  </si>
  <si>
    <t xml:space="preserve">SW277 </t>
  </si>
  <si>
    <t xml:space="preserve">abandoned</t>
  </si>
  <si>
    <t xml:space="preserve">NC160 </t>
  </si>
  <si>
    <t xml:space="preserve">Desktop</t>
  </si>
  <si>
    <t xml:space="preserve">LowValue</t>
  </si>
  <si>
    <t xml:space="preserve">SW409 </t>
  </si>
  <si>
    <t xml:space="preserve">WE352 </t>
  </si>
  <si>
    <t xml:space="preserve">NW379 </t>
  </si>
  <si>
    <t xml:space="preserve">Anthony Whitney </t>
  </si>
  <si>
    <t xml:space="preserve">518 Highland View Drive</t>
  </si>
  <si>
    <t xml:space="preserve">Achstetten</t>
  </si>
  <si>
    <t xml:space="preserve">DE</t>
  </si>
  <si>
    <t xml:space="preserve">Anthony.H.Whitney@pookmail.com</t>
  </si>
  <si>
    <t xml:space="preserve">03571 39 94 30</t>
  </si>
  <si>
    <t xml:space="preserve">VISA</t>
  </si>
  <si>
    <t xml:space="preserve">WE349 </t>
  </si>
  <si>
    <t xml:space="preserve">NXFXLA90D69D741G</t>
  </si>
  <si>
    <t xml:space="preserve">SC130 </t>
  </si>
  <si>
    <t xml:space="preserve">NA</t>
  </si>
  <si>
    <t xml:space="preserve">FirstTime</t>
  </si>
  <si>
    <t xml:space="preserve">HighValue</t>
  </si>
  <si>
    <t xml:space="preserve">GEN_Z</t>
  </si>
  <si>
    <t xml:space="preserve">Thomas Owens </t>
  </si>
  <si>
    <t xml:space="preserve">4030 Jessie Street</t>
  </si>
  <si>
    <t xml:space="preserve">Adami</t>
  </si>
  <si>
    <t xml:space="preserve">CZ</t>
  </si>
  <si>
    <t xml:space="preserve">Thomas.N.Owens@mailinator.com</t>
  </si>
  <si>
    <t xml:space="preserve">0341 5536286</t>
  </si>
  <si>
    <t xml:space="preserve">FR</t>
  </si>
  <si>
    <t xml:space="preserve">NC163 </t>
  </si>
  <si>
    <t xml:space="preserve">Occasional</t>
  </si>
  <si>
    <t xml:space="preserve">BABY_BOOMERS</t>
  </si>
  <si>
    <t xml:space="preserve">SW340 </t>
  </si>
  <si>
    <t xml:space="preserve">cancelled</t>
  </si>
  <si>
    <t xml:space="preserve">NW310 </t>
  </si>
  <si>
    <t xml:space="preserve">NC100 </t>
  </si>
  <si>
    <t xml:space="preserve">Anthony Carr </t>
  </si>
  <si>
    <t xml:space="preserve">2866 Quilly Lane</t>
  </si>
  <si>
    <t xml:space="preserve">Agallas</t>
  </si>
  <si>
    <t xml:space="preserve">ES</t>
  </si>
  <si>
    <t xml:space="preserve">Anthony.T.Carr@trashymail.com</t>
  </si>
  <si>
    <t xml:space="preserve">91-635-1987</t>
  </si>
  <si>
    <t xml:space="preserve">Discover</t>
  </si>
  <si>
    <t xml:space="preserve">SE208 </t>
  </si>
  <si>
    <t xml:space="preserve">EOOIAI58A45B091X</t>
  </si>
  <si>
    <t xml:space="preserve">SC259 </t>
  </si>
  <si>
    <t xml:space="preserve">SC193 </t>
  </si>
  <si>
    <t xml:space="preserve">in-progress</t>
  </si>
  <si>
    <t xml:space="preserve">RP253 </t>
  </si>
  <si>
    <t xml:space="preserve">Melvin Schmitz </t>
  </si>
  <si>
    <t xml:space="preserve">20 Rocky Road</t>
  </si>
  <si>
    <t xml:space="preserve">Aigues</t>
  </si>
  <si>
    <t xml:space="preserve">Melvin.B.Schmitz@dodgeit.com</t>
  </si>
  <si>
    <t xml:space="preserve">91-102-2813</t>
  </si>
  <si>
    <t xml:space="preserve">UAENZJ93C71L915W</t>
  </si>
  <si>
    <t xml:space="preserve">NW184 </t>
  </si>
  <si>
    <t xml:space="preserve">SE265 </t>
  </si>
  <si>
    <t xml:space="preserve">NC358 </t>
  </si>
  <si>
    <t xml:space="preserve">SC256 </t>
  </si>
  <si>
    <t xml:space="preserve">John Hoffman </t>
  </si>
  <si>
    <t xml:space="preserve">1660 Lighthouse Drive</t>
  </si>
  <si>
    <t xml:space="preserve">Akron</t>
  </si>
  <si>
    <t xml:space="preserve">OH</t>
  </si>
  <si>
    <t xml:space="preserve">US</t>
  </si>
  <si>
    <t xml:space="preserve">John.D.Hoffman@trashymail.com</t>
  </si>
  <si>
    <t xml:space="preserve">608-822-4333</t>
  </si>
  <si>
    <t xml:space="preserve">American Express</t>
  </si>
  <si>
    <t xml:space="preserve">SW274 </t>
  </si>
  <si>
    <t xml:space="preserve">RGQKFP86T41C178Z</t>
  </si>
  <si>
    <t xml:space="preserve">NW247 </t>
  </si>
  <si>
    <t xml:space="preserve">GEN_X</t>
  </si>
  <si>
    <t xml:space="preserve">Muriel Exley </t>
  </si>
  <si>
    <t xml:space="preserve">Mrs.</t>
  </si>
  <si>
    <t xml:space="preserve">2645 Kooter Lane</t>
  </si>
  <si>
    <t xml:space="preserve">Alba Di Canazei</t>
  </si>
  <si>
    <t xml:space="preserve">TN</t>
  </si>
  <si>
    <t xml:space="preserve">Muriel.J.Exley@trashymail.com</t>
  </si>
  <si>
    <t xml:space="preserve">0326 8920950</t>
  </si>
  <si>
    <t xml:space="preserve">SW412 </t>
  </si>
  <si>
    <t xml:space="preserve">NE304 </t>
  </si>
  <si>
    <t xml:space="preserve">James Moyle </t>
  </si>
  <si>
    <t xml:space="preserve">288 Vineyard Drive</t>
  </si>
  <si>
    <t xml:space="preserve">Albany</t>
  </si>
  <si>
    <t xml:space="preserve">NY</t>
  </si>
  <si>
    <t xml:space="preserve">James.O.Moyle@pookmail.com</t>
  </si>
  <si>
    <t xml:space="preserve">614-241-8539</t>
  </si>
  <si>
    <t xml:space="preserve">MQRAXX73T01A895J</t>
  </si>
  <si>
    <t xml:space="preserve">NE367 </t>
  </si>
  <si>
    <t xml:space="preserve">NW115 </t>
  </si>
  <si>
    <t xml:space="preserve">NW112 </t>
  </si>
  <si>
    <t xml:space="preserve">Calvin Shupe </t>
  </si>
  <si>
    <t xml:space="preserve">3335 Willow Oaks Lane</t>
  </si>
  <si>
    <t xml:space="preserve">Albosaggia</t>
  </si>
  <si>
    <t xml:space="preserve">SO</t>
  </si>
  <si>
    <t xml:space="preserve">Calvin.M.Shupe@spambob.com</t>
  </si>
  <si>
    <t xml:space="preserve">0331 4473271</t>
  </si>
  <si>
    <t xml:space="preserve">NE373 </t>
  </si>
  <si>
    <t xml:space="preserve">RHFGBS20R46E848A</t>
  </si>
  <si>
    <t xml:space="preserve">SC388 </t>
  </si>
  <si>
    <t xml:space="preserve">Alfonso Frazier </t>
  </si>
  <si>
    <t xml:space="preserve">3783 Freed Drive</t>
  </si>
  <si>
    <t xml:space="preserve">Albuquerque</t>
  </si>
  <si>
    <t xml:space="preserve">NM</t>
  </si>
  <si>
    <t xml:space="preserve">Alfonso.K.Frazier@pookmail.com</t>
  </si>
  <si>
    <t xml:space="preserve"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</si>
  <si>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</si>
  <si>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</si>
  <si>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</si>
  <si>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</si>
  <si>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</si>
  <si>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</si>
  <si>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</si>
  <si>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</si>
  <si>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 xml:space="preserve">Reda Fullilove </t>
  </si>
  <si>
    <t xml:space="preserve">518 Crestview Terrace</t>
  </si>
  <si>
    <t xml:space="preserve">Alcalali</t>
  </si>
  <si>
    <t xml:space="preserve">Reda.J.Fullilove@dodgeit.com</t>
  </si>
  <si>
    <t xml:space="preserve">91-102-2037</t>
  </si>
  <si>
    <t xml:space="preserve">Diners Club</t>
  </si>
  <si>
    <t xml:space="preserve">SE205 </t>
  </si>
  <si>
    <t xml:space="preserve">WHQPWH25A09H876D</t>
  </si>
  <si>
    <t xml:space="preserve">WE157 </t>
  </si>
  <si>
    <t xml:space="preserve">NE103 </t>
  </si>
  <si>
    <t xml:space="preserve">Cecil Games </t>
  </si>
  <si>
    <t xml:space="preserve">3747 Abner Road</t>
  </si>
  <si>
    <t xml:space="preserve">Aldearrubia</t>
  </si>
  <si>
    <t xml:space="preserve">Cecil.A.Games@trashymail.com</t>
  </si>
  <si>
    <t xml:space="preserve">91-103-1865</t>
  </si>
  <si>
    <t xml:space="preserve">WE421 </t>
  </si>
  <si>
    <t xml:space="preserve">WE415 </t>
  </si>
  <si>
    <t xml:space="preserve">age-32</t>
  </si>
  <si>
    <t xml:space="preserve">NW244 </t>
  </si>
  <si>
    <t xml:space="preserve">Edward Turner </t>
  </si>
  <si>
    <t xml:space="preserve">3179 Stratford Drive</t>
  </si>
  <si>
    <t xml:space="preserve">Alexandrian</t>
  </si>
  <si>
    <t xml:space="preserve">LA</t>
  </si>
  <si>
    <t xml:space="preserve">Edward.C.Turner@mailinator.com</t>
  </si>
  <si>
    <t xml:space="preserve">313-244-7595</t>
  </si>
  <si>
    <t xml:space="preserve">WE154 </t>
  </si>
  <si>
    <t xml:space="preserve">SW343 </t>
  </si>
  <si>
    <t xml:space="preserve">Alexandria</t>
  </si>
  <si>
    <t xml:space="preserve">SE403 </t>
  </si>
  <si>
    <t xml:space="preserve">Amy Randle </t>
  </si>
  <si>
    <t xml:space="preserve">4316 Nickel Road</t>
  </si>
  <si>
    <t xml:space="preserve">Algaida</t>
  </si>
  <si>
    <t xml:space="preserve">Amy.M.Randle@mailinator.com</t>
  </si>
  <si>
    <t xml:space="preserve">91-271-2733</t>
  </si>
  <si>
    <t xml:space="preserve">NC292 </t>
  </si>
  <si>
    <t xml:space="preserve">SE334 </t>
  </si>
  <si>
    <t xml:space="preserve">Rafael Middleton </t>
  </si>
  <si>
    <t xml:space="preserve">3020 Callison Lane</t>
  </si>
  <si>
    <t xml:space="preserve">Allentown</t>
  </si>
  <si>
    <t xml:space="preserve">MD</t>
  </si>
  <si>
    <t xml:space="preserve">Rafael.G.Middleton@spambob.com</t>
  </si>
  <si>
    <t xml:space="preserve">781-315-9600</t>
  </si>
  <si>
    <t xml:space="preserve">JCB</t>
  </si>
  <si>
    <t xml:space="preserve">SC262 </t>
  </si>
  <si>
    <t xml:space="preserve">WE220 </t>
  </si>
  <si>
    <t xml:space="preserve">Earl Bruner </t>
  </si>
  <si>
    <t xml:space="preserve">3155 Single Street</t>
  </si>
  <si>
    <t xml:space="preserve">Alma</t>
  </si>
  <si>
    <t xml:space="preserve">QC</t>
  </si>
  <si>
    <t xml:space="preserve">CA</t>
  </si>
  <si>
    <t xml:space="preserve">G8B 2W5</t>
  </si>
  <si>
    <t xml:space="preserve">Earl.M.Bruner@pookmail.com</t>
  </si>
  <si>
    <t xml:space="preserve">613-353-4540</t>
  </si>
  <si>
    <t xml:space="preserve">NE172 </t>
  </si>
  <si>
    <t xml:space="preserve">5873675G</t>
  </si>
  <si>
    <t xml:space="preserve">SW142 </t>
  </si>
  <si>
    <t xml:space="preserve">Linda Garcia </t>
  </si>
  <si>
    <t xml:space="preserve">2306 Thrash Trail</t>
  </si>
  <si>
    <t xml:space="preserve">Alpo</t>
  </si>
  <si>
    <t xml:space="preserve">VR</t>
  </si>
  <si>
    <t xml:space="preserve">Linda.J.Garcia@mailinator.com</t>
  </si>
  <si>
    <t xml:space="preserve">0317 2702530</t>
  </si>
  <si>
    <t xml:space="preserve">SE268 </t>
  </si>
  <si>
    <t xml:space="preserve">SC199 </t>
  </si>
  <si>
    <t xml:space="preserve">Quinn Perry </t>
  </si>
  <si>
    <t xml:space="preserve">Master.</t>
  </si>
  <si>
    <t xml:space="preserve">749 C Street</t>
  </si>
  <si>
    <t xml:space="preserve">Amarillo</t>
  </si>
  <si>
    <t xml:space="preserve">TX</t>
  </si>
  <si>
    <t xml:space="preserve">Quinn.S.Perry@spambob.com</t>
  </si>
  <si>
    <t xml:space="preserve">603-366-3347</t>
  </si>
  <si>
    <t xml:space="preserve">SC322 </t>
  </si>
  <si>
    <t xml:space="preserve">FHGPMO74D11L254L</t>
  </si>
  <si>
    <t xml:space="preserve">SE400 </t>
  </si>
  <si>
    <t xml:space="preserve">WE286 </t>
  </si>
  <si>
    <t xml:space="preserve">Kristin Mendoza </t>
  </si>
  <si>
    <t xml:space="preserve">2909 Frank Avenue</t>
  </si>
  <si>
    <t xml:space="preserve">Anaheim</t>
  </si>
  <si>
    <t xml:space="preserve">Kristin.T.Mendoza@spambob.com</t>
  </si>
  <si>
    <t xml:space="preserve">865-685-8215</t>
  </si>
  <si>
    <t xml:space="preserve">age-55</t>
  </si>
  <si>
    <t xml:space="preserve">SW217 </t>
  </si>
  <si>
    <t xml:space="preserve">NW316 </t>
  </si>
  <si>
    <t xml:space="preserve">Michael Gordon </t>
  </si>
  <si>
    <t xml:space="preserve">388 Kelly Drive</t>
  </si>
  <si>
    <t xml:space="preserve">Ancona</t>
  </si>
  <si>
    <t xml:space="preserve">AN</t>
  </si>
  <si>
    <t xml:space="preserve">Michael.S.Gordon@dodgeit.com</t>
  </si>
  <si>
    <t xml:space="preserve">0373 6095994</t>
  </si>
  <si>
    <t xml:space="preserve">Phyllis White </t>
  </si>
  <si>
    <t xml:space="preserve">4738 Jerry Dove Drive</t>
  </si>
  <si>
    <t xml:space="preserve">Angas Plains</t>
  </si>
  <si>
    <t xml:space="preserve">SA</t>
  </si>
  <si>
    <t xml:space="preserve">AU</t>
  </si>
  <si>
    <t xml:space="preserve">Phyllis.J.White@pookmail.com</t>
  </si>
  <si>
    <t xml:space="preserve">(02) 4024 5353</t>
  </si>
  <si>
    <t xml:space="preserve">WE151 </t>
  </si>
  <si>
    <t xml:space="preserve">HCNFEA86A41E274E</t>
  </si>
  <si>
    <t xml:space="preserve">WE355 </t>
  </si>
  <si>
    <t xml:space="preserve">NE109 </t>
  </si>
  <si>
    <t xml:space="preserve">Katherine Mullins </t>
  </si>
  <si>
    <t xml:space="preserve">4245 Adamsville Road</t>
  </si>
  <si>
    <t xml:space="preserve">Angwin</t>
  </si>
  <si>
    <t xml:space="preserve">Katherine.W.Mullins@spambob.com</t>
  </si>
  <si>
    <t xml:space="preserve">503-688-0336</t>
  </si>
  <si>
    <t xml:space="preserve">X6490143A</t>
  </si>
  <si>
    <t xml:space="preserve">Lisa Guest </t>
  </si>
  <si>
    <t xml:space="preserve">4317 Lyon Avenue</t>
  </si>
  <si>
    <t xml:space="preserve">Annone Veneto</t>
  </si>
  <si>
    <t xml:space="preserve">VE</t>
  </si>
  <si>
    <t xml:space="preserve">Lisa.D.Guest@spambob.com</t>
  </si>
  <si>
    <t xml:space="preserve">0312 0608733</t>
  </si>
  <si>
    <t xml:space="preserve">NE235 </t>
  </si>
  <si>
    <t xml:space="preserve">4204474M</t>
  </si>
  <si>
    <t xml:space="preserve">NC295 </t>
  </si>
  <si>
    <t xml:space="preserve">Scott Lawson </t>
  </si>
  <si>
    <t xml:space="preserve">3105 Spadafore Drive</t>
  </si>
  <si>
    <t xml:space="preserve">Antioch</t>
  </si>
  <si>
    <t xml:space="preserve">WI</t>
  </si>
  <si>
    <t xml:space="preserve">Scott.M.Lawson@spambob.com</t>
  </si>
  <si>
    <t xml:space="preserve">201-799-5873</t>
  </si>
  <si>
    <t xml:space="preserve">SE133 </t>
  </si>
  <si>
    <t xml:space="preserve">SW211 </t>
  </si>
  <si>
    <t xml:space="preserve">Robert Bilbo </t>
  </si>
  <si>
    <t xml:space="preserve">2553 Clousson Road</t>
  </si>
  <si>
    <t xml:space="preserve">Appiano Gentile</t>
  </si>
  <si>
    <t xml:space="preserve">CO</t>
  </si>
  <si>
    <t xml:space="preserve">Robert.L.Bilbo@dodgeit.com</t>
  </si>
  <si>
    <t xml:space="preserve">0390 9449254</t>
  </si>
  <si>
    <t xml:space="preserve">SC196 </t>
  </si>
  <si>
    <t xml:space="preserve">QIEZKO91C65L851P</t>
  </si>
  <si>
    <t xml:space="preserve">Ahmed Richard </t>
  </si>
  <si>
    <t xml:space="preserve">1346 Carter Street</t>
  </si>
  <si>
    <t xml:space="preserve">Appleton</t>
  </si>
  <si>
    <t xml:space="preserve">Ahmed.P.Richard@mailinator.com</t>
  </si>
  <si>
    <t xml:space="preserve">510-517-7759</t>
  </si>
  <si>
    <t xml:space="preserve">SW214 </t>
  </si>
  <si>
    <t xml:space="preserve">Ray Hornsby </t>
  </si>
  <si>
    <t xml:space="preserve">555 DaVISAA Avenue</t>
  </si>
  <si>
    <t xml:space="preserve">Archez</t>
  </si>
  <si>
    <t xml:space="preserve">Ray.M.Hornsby@pookmail.com</t>
  </si>
  <si>
    <t xml:space="preserve">91-271-2747</t>
  </si>
  <si>
    <t xml:space="preserve">TMWEAA77M18B017F</t>
  </si>
  <si>
    <t xml:space="preserve">Jason Glass </t>
  </si>
  <si>
    <t xml:space="preserve">Miss.</t>
  </si>
  <si>
    <t xml:space="preserve">289 Bassell Avenue</t>
  </si>
  <si>
    <t xml:space="preserve">Argenton</t>
  </si>
  <si>
    <t xml:space="preserve">NSW</t>
  </si>
  <si>
    <t xml:space="preserve">Jason.M.Glass@spambob.com</t>
  </si>
  <si>
    <t xml:space="preserve">(07) 4090 2386</t>
  </si>
  <si>
    <t xml:space="preserve">RP121 </t>
  </si>
  <si>
    <t xml:space="preserve">HCNMPL50M67G315Q</t>
  </si>
  <si>
    <t xml:space="preserve">NW187 </t>
  </si>
  <si>
    <t xml:space="preserve">WE289 </t>
  </si>
  <si>
    <t xml:space="preserve">Natalie White </t>
  </si>
  <si>
    <t xml:space="preserve">3233 Rivendell Drive</t>
  </si>
  <si>
    <t xml:space="preserve">Arlington</t>
  </si>
  <si>
    <t xml:space="preserve">Natalie.D.White@dodgeit.com</t>
  </si>
  <si>
    <t xml:space="preserve">916-866-4992</t>
  </si>
  <si>
    <t xml:space="preserve">SE397 </t>
  </si>
  <si>
    <t xml:space="preserve">4674010L</t>
  </si>
  <si>
    <t xml:space="preserve">SE136 </t>
  </si>
  <si>
    <t xml:space="preserve">Donna Klock </t>
  </si>
  <si>
    <t xml:space="preserve">3107 Byers Lane</t>
  </si>
  <si>
    <t xml:space="preserve">NE</t>
  </si>
  <si>
    <t xml:space="preserve">Donna.K.Klock@spambob.com</t>
  </si>
  <si>
    <t xml:space="preserve">319-482-8591</t>
  </si>
  <si>
    <t xml:space="preserve">SC127 </t>
  </si>
  <si>
    <t xml:space="preserve">NW382 </t>
  </si>
  <si>
    <t xml:space="preserve">Donald Velazquez </t>
  </si>
  <si>
    <t xml:space="preserve">224 Gandy Street</t>
  </si>
  <si>
    <t xml:space="preserve">Aschersleben</t>
  </si>
  <si>
    <t xml:space="preserve">Donald.H.Velazquez@pookmail.com</t>
  </si>
  <si>
    <t xml:space="preserve">08321 88 88 19</t>
  </si>
  <si>
    <t xml:space="preserve">NPPGZI62A63B394C</t>
  </si>
  <si>
    <t xml:space="preserve">age-19</t>
  </si>
  <si>
    <t xml:space="preserve">NC229 </t>
  </si>
  <si>
    <t xml:space="preserve">Harry Brumback </t>
  </si>
  <si>
    <t xml:space="preserve">45 Graystone Lakes</t>
  </si>
  <si>
    <t xml:space="preserve">Asheboro</t>
  </si>
  <si>
    <t xml:space="preserve">NC</t>
  </si>
  <si>
    <t xml:space="preserve">Harry.L.Brumback@dodgeit.com</t>
  </si>
  <si>
    <t xml:space="preserve">773-577-9355</t>
  </si>
  <si>
    <t xml:space="preserve">SW406 </t>
  </si>
  <si>
    <t xml:space="preserve">Harold Magee </t>
  </si>
  <si>
    <t xml:space="preserve">565 Cinnamon Lane</t>
  </si>
  <si>
    <t xml:space="preserve">Ashland</t>
  </si>
  <si>
    <t xml:space="preserve">VA</t>
  </si>
  <si>
    <t xml:space="preserve">Harold.A.Magee@mailinator.com</t>
  </si>
  <si>
    <t xml:space="preserve">503-308-1831</t>
  </si>
  <si>
    <t xml:space="preserve">UK</t>
  </si>
  <si>
    <t xml:space="preserve">YS731666A</t>
  </si>
  <si>
    <t xml:space="preserve">WE223 </t>
  </si>
  <si>
    <t xml:space="preserve"> 565 Cinnamon Lane</t>
  </si>
  <si>
    <t xml:space="preserve">Melba Whitehead </t>
  </si>
  <si>
    <t xml:space="preserve">4985 Barnes Avenue</t>
  </si>
  <si>
    <t xml:space="preserve">Asquith</t>
  </si>
  <si>
    <t xml:space="preserve">Melba.M.Whitehead@trashymail.com</t>
  </si>
  <si>
    <t xml:space="preserve">(07) 4507 5357</t>
  </si>
  <si>
    <t xml:space="preserve">0568157B</t>
  </si>
  <si>
    <t xml:space="preserve">NC364 </t>
  </si>
  <si>
    <t xml:space="preserve">NC169 </t>
  </si>
  <si>
    <t xml:space="preserve">Ivan Case </t>
  </si>
  <si>
    <t xml:space="preserve">2540 School Street</t>
  </si>
  <si>
    <t xml:space="preserve">Athens</t>
  </si>
  <si>
    <t xml:space="preserve">Ivan.J.Case@dodgeit.com</t>
  </si>
  <si>
    <t xml:space="preserve">512-391-4111</t>
  </si>
  <si>
    <t xml:space="preserve">RP319 </t>
  </si>
  <si>
    <t xml:space="preserve">Bob Davenport </t>
  </si>
  <si>
    <t xml:space="preserve">488 Lonely Oak Drive</t>
  </si>
  <si>
    <t xml:space="preserve">Atlanta</t>
  </si>
  <si>
    <t xml:space="preserve">GA</t>
  </si>
  <si>
    <t xml:space="preserve">Bob.N.Davenport@pookmail.com</t>
  </si>
  <si>
    <t xml:space="preserve">512-912-9995</t>
  </si>
  <si>
    <t xml:space="preserve">Jennifer Howard </t>
  </si>
  <si>
    <t xml:space="preserve">3339 Twin Willow Lane</t>
  </si>
  <si>
    <t xml:space="preserve">Jennifer.M.Howard@spambob.com</t>
  </si>
  <si>
    <t xml:space="preserve">559-927-9392</t>
  </si>
  <si>
    <t xml:space="preserve">SQOOUI42T60G511Z</t>
  </si>
  <si>
    <t xml:space="preserve">NE238 </t>
  </si>
  <si>
    <t xml:space="preserve">Jana Hall </t>
  </si>
  <si>
    <t xml:space="preserve">2050 Randolph Street</t>
  </si>
  <si>
    <t xml:space="preserve">Atlantic City</t>
  </si>
  <si>
    <t xml:space="preserve">NJ</t>
  </si>
  <si>
    <t xml:space="preserve">Jana.R.Hall@mailinator.com</t>
  </si>
  <si>
    <t xml:space="preserve">410-971-3586</t>
  </si>
  <si>
    <t xml:space="preserve">NC361 </t>
  </si>
  <si>
    <t xml:space="preserve">X4152416L</t>
  </si>
  <si>
    <t xml:space="preserve">Arlene Cruz </t>
  </si>
  <si>
    <t xml:space="preserve">4858 Bottom Lane</t>
  </si>
  <si>
    <t xml:space="preserve">Auburn</t>
  </si>
  <si>
    <t xml:space="preserve">WA</t>
  </si>
  <si>
    <t xml:space="preserve">Arlene.M.Cruz@mailinator.com</t>
  </si>
  <si>
    <t xml:space="preserve">817-905-6598</t>
  </si>
  <si>
    <t xml:space="preserve">CQQVJC41M50H989G</t>
  </si>
  <si>
    <t xml:space="preserve">Mildred Carey </t>
  </si>
  <si>
    <t xml:space="preserve">3362 Post Avenue</t>
  </si>
  <si>
    <t xml:space="preserve">Aulnay-sous-bois</t>
  </si>
  <si>
    <t xml:space="preserve">Mildred.M.Carey@mailinator.com</t>
  </si>
  <si>
    <t xml:space="preserve">03.43.65.57.75</t>
  </si>
  <si>
    <t xml:space="preserve">5876860S</t>
  </si>
  <si>
    <t xml:space="preserve">Yasmin Cole </t>
  </si>
  <si>
    <t xml:space="preserve">2756 Johnson Street</t>
  </si>
  <si>
    <t xml:space="preserve">Austin</t>
  </si>
  <si>
    <t xml:space="preserve">Yasmin.D.Cole@pookmail.com</t>
  </si>
  <si>
    <t xml:space="preserve">703-633-1911</t>
  </si>
  <si>
    <t xml:space="preserve">1062903G</t>
  </si>
  <si>
    <t xml:space="preserve">WE226 </t>
  </si>
  <si>
    <t xml:space="preserve">SC124 </t>
  </si>
  <si>
    <t xml:space="preserve">Jodi Bugg </t>
  </si>
  <si>
    <t xml:space="preserve">1177 Petunia Way</t>
  </si>
  <si>
    <t xml:space="preserve">Avio</t>
  </si>
  <si>
    <t xml:space="preserve">Jodi.S.Bugg@spambob.com</t>
  </si>
  <si>
    <t xml:space="preserve">0396 3484999</t>
  </si>
  <si>
    <t xml:space="preserve">Henry Williams </t>
  </si>
  <si>
    <t xml:space="preserve">303 School Street</t>
  </si>
  <si>
    <t xml:space="preserve">Back Plains</t>
  </si>
  <si>
    <t xml:space="preserve">QLD</t>
  </si>
  <si>
    <t xml:space="preserve">Henry.C.Williams@spambob.com</t>
  </si>
  <si>
    <t xml:space="preserve">(03) 5390 3807</t>
  </si>
  <si>
    <t xml:space="preserve">SW346 </t>
  </si>
  <si>
    <t xml:space="preserve">TS214786A</t>
  </si>
  <si>
    <t xml:space="preserve">Allen Rice </t>
  </si>
  <si>
    <t xml:space="preserve">491 Browning Lane</t>
  </si>
  <si>
    <t xml:space="preserve">Badia Di Cava De Tirreni</t>
  </si>
  <si>
    <t xml:space="preserve">Allen.L.Rice@pookmail.com</t>
  </si>
  <si>
    <t xml:space="preserve">0310 4718739</t>
  </si>
  <si>
    <t xml:space="preserve">YH860602C</t>
  </si>
  <si>
    <t xml:space="preserve">Bradford Claassen </t>
  </si>
  <si>
    <t xml:space="preserve">2895 Jennifer Lane</t>
  </si>
  <si>
    <t xml:space="preserve">Bagnasco</t>
  </si>
  <si>
    <t xml:space="preserve">CN</t>
  </si>
  <si>
    <t xml:space="preserve">Bradford.H.Claassen@mailinator.com</t>
  </si>
  <si>
    <t xml:space="preserve">0378 3425616</t>
  </si>
  <si>
    <t xml:space="preserve">SC394 </t>
  </si>
  <si>
    <t xml:space="preserve">Elizabeth Turner </t>
  </si>
  <si>
    <t xml:space="preserve">4107 Limer Street</t>
  </si>
  <si>
    <t xml:space="preserve">Baia Del Re</t>
  </si>
  <si>
    <t xml:space="preserve">PC</t>
  </si>
  <si>
    <t xml:space="preserve">Elizabeth.J.Turner@trashymail.com</t>
  </si>
  <si>
    <t xml:space="preserve">0356 9028368</t>
  </si>
  <si>
    <t xml:space="preserve">6111899V</t>
  </si>
  <si>
    <t xml:space="preserve">age-45</t>
  </si>
  <si>
    <t xml:space="preserve">Dwight Armenta </t>
  </si>
  <si>
    <t xml:space="preserve">1043 Lynn Avenue</t>
  </si>
  <si>
    <t xml:space="preserve">Bakersfield</t>
  </si>
  <si>
    <t xml:space="preserve">Dwight.L.Armenta@dodgeit.com</t>
  </si>
  <si>
    <t xml:space="preserve">512-885-6258</t>
  </si>
  <si>
    <t xml:space="preserve">age-24</t>
  </si>
  <si>
    <t xml:space="preserve">SW145 </t>
  </si>
  <si>
    <t xml:space="preserve">Michael Pritchard </t>
  </si>
  <si>
    <t xml:space="preserve">1117 Yorkshire Circle</t>
  </si>
  <si>
    <t xml:space="preserve">Balliang</t>
  </si>
  <si>
    <t xml:space="preserve">VIC</t>
  </si>
  <si>
    <t xml:space="preserve">Michael.M.Pritchard@trashymail.com</t>
  </si>
  <si>
    <t xml:space="preserve">(08) 9072 2460</t>
  </si>
  <si>
    <t xml:space="preserve">Elizabeth Martinez </t>
  </si>
  <si>
    <t xml:space="preserve">947 Rainbow Road</t>
  </si>
  <si>
    <t xml:space="preserve">Baltimore</t>
  </si>
  <si>
    <t xml:space="preserve">Elizabeth.B.Martinez@mailinator.com</t>
  </si>
  <si>
    <t xml:space="preserve">314-268-8613</t>
  </si>
  <si>
    <t xml:space="preserve">NW118 </t>
  </si>
  <si>
    <t xml:space="preserve">UAAUXX18L25A259N</t>
  </si>
  <si>
    <t xml:space="preserve">Mary Bates </t>
  </si>
  <si>
    <t xml:space="preserve">1646 Tenmile</t>
  </si>
  <si>
    <t xml:space="preserve">Mary.T.Bates@pookmail.com</t>
  </si>
  <si>
    <t xml:space="preserve">503-337-6080</t>
  </si>
  <si>
    <t xml:space="preserve">2167155A</t>
  </si>
  <si>
    <t xml:space="preserve">Mandy Fernandez </t>
  </si>
  <si>
    <t xml:space="preserve">4103 Wilmar Farm Road</t>
  </si>
  <si>
    <t xml:space="preserve">Banora Point</t>
  </si>
  <si>
    <t xml:space="preserve">Mandy.M.Fernandez@pookmail.com</t>
  </si>
  <si>
    <t xml:space="preserve">(03) 5361 9459</t>
  </si>
  <si>
    <t xml:space="preserve">2359270E</t>
  </si>
  <si>
    <t xml:space="preserve">Megan Mauro </t>
  </si>
  <si>
    <t xml:space="preserve">701 Clarksburg Park Road</t>
  </si>
  <si>
    <t xml:space="preserve">Barnwell</t>
  </si>
  <si>
    <t xml:space="preserve">SC</t>
  </si>
  <si>
    <t xml:space="preserve">Megan.R.Mauro@pookmail.com</t>
  </si>
  <si>
    <t xml:space="preserve">631-732-3842</t>
  </si>
  <si>
    <t xml:space="preserve">John Riley </t>
  </si>
  <si>
    <t xml:space="preserve">4904 Hamilton Drive</t>
  </si>
  <si>
    <t xml:space="preserve">Barsbittel</t>
  </si>
  <si>
    <t xml:space="preserve">John.S.Riley@spambob.com</t>
  </si>
  <si>
    <t xml:space="preserve">04329 69 96 01</t>
  </si>
  <si>
    <t xml:space="preserve">Felix Myers </t>
  </si>
  <si>
    <t xml:space="preserve">170 Angie Drive</t>
  </si>
  <si>
    <t xml:space="preserve">Bisecting</t>
  </si>
  <si>
    <t xml:space="preserve">SS</t>
  </si>
  <si>
    <t xml:space="preserve">Felix.R.Myers@mailinator.com</t>
  </si>
  <si>
    <t xml:space="preserve">0389 7059753</t>
  </si>
  <si>
    <t xml:space="preserve">AH088707D</t>
  </si>
  <si>
    <t xml:space="preserve">Bassacutena</t>
  </si>
  <si>
    <t xml:space="preserve">Frank Westra </t>
  </si>
  <si>
    <t xml:space="preserve">3540 Stout Street</t>
  </si>
  <si>
    <t xml:space="preserve">Baton Rouge</t>
  </si>
  <si>
    <t xml:space="preserve">Frank.K.Westra@spambob.com</t>
  </si>
  <si>
    <t xml:space="preserve">661-947-3606</t>
  </si>
  <si>
    <t xml:space="preserve">NW376 </t>
  </si>
  <si>
    <t xml:space="preserve">SE331 </t>
  </si>
  <si>
    <t xml:space="preserve">Jack Owens </t>
  </si>
  <si>
    <t xml:space="preserve">2374 Christie Way</t>
  </si>
  <si>
    <t xml:space="preserve">Beasain</t>
  </si>
  <si>
    <t xml:space="preserve">Jack.L.Owens@spambob.com</t>
  </si>
  <si>
    <t xml:space="preserve">91-102-2453</t>
  </si>
  <si>
    <t xml:space="preserve">Therese Pickering </t>
  </si>
  <si>
    <t xml:space="preserve">893 Ferry Street</t>
  </si>
  <si>
    <t xml:space="preserve">Belfield</t>
  </si>
  <si>
    <t xml:space="preserve">ND</t>
  </si>
  <si>
    <t xml:space="preserve">Therese.B.Pickering@spambob.com</t>
  </si>
  <si>
    <t xml:space="preserve">707-565-9536</t>
  </si>
  <si>
    <t xml:space="preserve">NC427 </t>
  </si>
  <si>
    <t xml:space="preserve">Robert Ojeda </t>
  </si>
  <si>
    <t xml:space="preserve">546 Lakewood Drive</t>
  </si>
  <si>
    <t xml:space="preserve">Belleville</t>
  </si>
  <si>
    <t xml:space="preserve">IL</t>
  </si>
  <si>
    <t xml:space="preserve">Robert.M.Ojeda@mailinator.com</t>
  </si>
  <si>
    <t xml:space="preserve">503-705-8957</t>
  </si>
  <si>
    <t xml:space="preserve">Thomas Farris </t>
  </si>
  <si>
    <t xml:space="preserve">54 Kelly Drive</t>
  </si>
  <si>
    <t xml:space="preserve">Beltsville</t>
  </si>
  <si>
    <t xml:space="preserve">Thomas.S.Farris@spambob.com</t>
  </si>
  <si>
    <t xml:space="preserve">616-788-0599</t>
  </si>
  <si>
    <t xml:space="preserve">SE337 </t>
  </si>
  <si>
    <t xml:space="preserve">NE106 </t>
  </si>
  <si>
    <t xml:space="preserve">Joseph Shafer </t>
  </si>
  <si>
    <t xml:space="preserve">15 Lords Way</t>
  </si>
  <si>
    <t xml:space="preserve">Joseph.J.Shafer@trashymail.com</t>
  </si>
  <si>
    <t xml:space="preserve">212-833-9423</t>
  </si>
  <si>
    <t xml:space="preserve">Hoyt Ramos </t>
  </si>
  <si>
    <t xml:space="preserve">354 Northwest Boulevard</t>
  </si>
  <si>
    <t xml:space="preserve">Bend</t>
  </si>
  <si>
    <t xml:space="preserve">OR</t>
  </si>
  <si>
    <t xml:space="preserve">Hoyt.C.Ramos@dodgeit.com</t>
  </si>
  <si>
    <t xml:space="preserve">215-438-4845</t>
  </si>
  <si>
    <t xml:space="preserve">TTVLTC38H61B853K</t>
  </si>
  <si>
    <t xml:space="preserve">SE139 </t>
  </si>
  <si>
    <t xml:space="preserve">Jodi Stanley </t>
  </si>
  <si>
    <t xml:space="preserve">4039 Kelley Road</t>
  </si>
  <si>
    <t xml:space="preserve">Bensalem</t>
  </si>
  <si>
    <t xml:space="preserve">PA</t>
  </si>
  <si>
    <t xml:space="preserve">Jodi.B.Stanley@spambob.com</t>
  </si>
  <si>
    <t xml:space="preserve">262-385-8894</t>
  </si>
  <si>
    <t xml:space="preserve">Betty Grimes </t>
  </si>
  <si>
    <t xml:space="preserve">2078 Plainfield Avenue</t>
  </si>
  <si>
    <t xml:space="preserve">Berchtesgaden</t>
  </si>
  <si>
    <t xml:space="preserve">Betty.D.Grimes@mailinator.com</t>
  </si>
  <si>
    <t xml:space="preserve">08091 13 31 66</t>
  </si>
  <si>
    <t xml:space="preserve">Tony Brooks </t>
  </si>
  <si>
    <t xml:space="preserve">2134 Watson Lane</t>
  </si>
  <si>
    <t xml:space="preserve">Bergotto</t>
  </si>
  <si>
    <t xml:space="preserve">PR</t>
  </si>
  <si>
    <t xml:space="preserve">Tony.D.Brooks@mailinator.com</t>
  </si>
  <si>
    <t xml:space="preserve">0357 7464003</t>
  </si>
  <si>
    <t xml:space="preserve">Michael Reed </t>
  </si>
  <si>
    <t xml:space="preserve">4592 Poplar Lane</t>
  </si>
  <si>
    <t xml:space="preserve">Besnate</t>
  </si>
  <si>
    <t xml:space="preserve">Michael.K.Reed@trashymail.com</t>
  </si>
  <si>
    <t xml:space="preserve">0399 7420631</t>
  </si>
  <si>
    <t xml:space="preserve">Rosemary Herbert </t>
  </si>
  <si>
    <t xml:space="preserve">3591 Nutters Barn Lane</t>
  </si>
  <si>
    <t xml:space="preserve">Beverly Hills</t>
  </si>
  <si>
    <t xml:space="preserve">Rosemary.J.Herbert@pookmail.com</t>
  </si>
  <si>
    <t xml:space="preserve">814-393-3387</t>
  </si>
  <si>
    <t xml:space="preserve">Judy Larkin </t>
  </si>
  <si>
    <t xml:space="preserve">2659 Werninger Street</t>
  </si>
  <si>
    <t xml:space="preserve">Biancade</t>
  </si>
  <si>
    <t xml:space="preserve">TV</t>
  </si>
  <si>
    <t xml:space="preserve">Judy.B.Larkin@pookmail.com</t>
  </si>
  <si>
    <t xml:space="preserve">0344 8952963</t>
  </si>
  <si>
    <t xml:space="preserve">Judy Hopping </t>
  </si>
  <si>
    <t xml:space="preserve">2805 DaVISAA Avenue</t>
  </si>
  <si>
    <t xml:space="preserve">Biarritz</t>
  </si>
  <si>
    <t xml:space="preserve">Judy.G.Hopping@pookmail.com</t>
  </si>
  <si>
    <t xml:space="preserve">01.83.63.72.29</t>
  </si>
  <si>
    <t xml:space="preserve">NW313 </t>
  </si>
  <si>
    <t xml:space="preserve">Joseph Rogers </t>
  </si>
  <si>
    <t xml:space="preserve">2027 Harley Brook Lane</t>
  </si>
  <si>
    <t xml:space="preserve">Biebrich</t>
  </si>
  <si>
    <t xml:space="preserve">Joseph.S.Rogers@mailinator.com</t>
  </si>
  <si>
    <t xml:space="preserve">0201 25 24 10</t>
  </si>
  <si>
    <t xml:space="preserve">7500577R</t>
  </si>
  <si>
    <t xml:space="preserve">James Sales </t>
  </si>
  <si>
    <t xml:space="preserve">3904 Capitol Avenue</t>
  </si>
  <si>
    <t xml:space="preserve">Billings</t>
  </si>
  <si>
    <t xml:space="preserve">MT</t>
  </si>
  <si>
    <t xml:space="preserve">James.K.Sales@trashymail.com</t>
  </si>
  <si>
    <t xml:space="preserve">864-527-3838</t>
  </si>
  <si>
    <t xml:space="preserve">NC232 </t>
  </si>
  <si>
    <t xml:space="preserve">SW280 </t>
  </si>
  <si>
    <t xml:space="preserve">Charles Pickett </t>
  </si>
  <si>
    <t xml:space="preserve">928 Adonais Way</t>
  </si>
  <si>
    <t xml:space="preserve">Birch Creek</t>
  </si>
  <si>
    <t xml:space="preserve">AK</t>
  </si>
  <si>
    <t xml:space="preserve">Charles.F.Pickett@spambob.com</t>
  </si>
  <si>
    <t xml:space="preserve">402-856-9229</t>
  </si>
  <si>
    <t xml:space="preserve">4900352H</t>
  </si>
  <si>
    <t xml:space="preserve">Margaret Shelton </t>
  </si>
  <si>
    <t xml:space="preserve">1034 Briarwood Drive</t>
  </si>
  <si>
    <t xml:space="preserve">Birmingham</t>
  </si>
  <si>
    <t xml:space="preserve">AL</t>
  </si>
  <si>
    <t xml:space="preserve">Margaret.T.Shelton@pookmail.com</t>
  </si>
  <si>
    <t xml:space="preserve">860-435-8672</t>
  </si>
  <si>
    <t xml:space="preserve">WE283 </t>
  </si>
  <si>
    <t xml:space="preserve">NE301 </t>
  </si>
  <si>
    <t xml:space="preserve">Rebecca Uresti </t>
  </si>
  <si>
    <t xml:space="preserve">4333 Morningview Lane</t>
  </si>
  <si>
    <t xml:space="preserve">Rebecca.C.Uresti@trashymail.com</t>
  </si>
  <si>
    <t xml:space="preserve">903-497-8623</t>
  </si>
  <si>
    <t xml:space="preserve">YR565337D</t>
  </si>
  <si>
    <t xml:space="preserve">Emma Perez </t>
  </si>
  <si>
    <t xml:space="preserve">1199 Lightning Point Drive</t>
  </si>
  <si>
    <t xml:space="preserve">Black Hawk</t>
  </si>
  <si>
    <t xml:space="preserve">SD</t>
  </si>
  <si>
    <t xml:space="preserve">Emma.V.Perez@spambob.com</t>
  </si>
  <si>
    <t xml:space="preserve">612-990-4487</t>
  </si>
  <si>
    <t xml:space="preserve">Reynaldo Myers </t>
  </si>
  <si>
    <t xml:space="preserve">3923 Black Stallion Road</t>
  </si>
  <si>
    <t xml:space="preserve">Blaxland East</t>
  </si>
  <si>
    <t xml:space="preserve">Reynaldo.J.Myers@pookmail.com</t>
  </si>
  <si>
    <t xml:space="preserve">(02) 6753 9404</t>
  </si>
  <si>
    <t xml:space="preserve">Jennifer Becker </t>
  </si>
  <si>
    <t xml:space="preserve">4374 Lindale Avenue</t>
  </si>
  <si>
    <t xml:space="preserve">Bloomington</t>
  </si>
  <si>
    <t xml:space="preserve">Jennifer.D.Becker@spambob.com</t>
  </si>
  <si>
    <t xml:space="preserve">803-223-5484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</si>
</sst>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dddd, mmmm\ d&quot;, &quot;yyyy"/>
    <numFmt numFmtId="166" formatCode="0.00E+00"/>
    <numFmt numFmtId="167" formatCode="mm:ss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Calibri"/>
        <charset val="1"/>
        <family val="2"/>
        <color rgb="FFCC0000"/>
        <sz val="11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5" activeCellId="0" sqref="B15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0" width="17.97"/>
    <col collapsed="false" customWidth="true" hidden="false" outlineLevel="0" max="2" min="2" style="0" width="18.79"/>
    <col collapsed="false" customWidth="true" hidden="false" outlineLevel="0" max="3" min="3" style="0" width="17.97"/>
    <col collapsed="false" customWidth="true" hidden="false" outlineLevel="0" max="4" min="4" style="1" width="17.97"/>
    <col collapsed="false" customWidth="true" hidden="false" outlineLevel="0" max="5" min="5" style="1" width="13.26"/>
    <col collapsed="false" customWidth="true" hidden="false" outlineLevel="0" max="6" min="6" style="1" width="24.55"/>
    <col collapsed="false" customWidth="true" hidden="false" outlineLevel="0" max="7" min="7" style="1" width="20.44"/>
    <col collapsed="false" customWidth="true" hidden="false" outlineLevel="0" max="8" min="8" style="1" width="7.31"/>
    <col collapsed="false" customWidth="true" hidden="false" outlineLevel="0" max="9" min="9" style="1" width="15.67"/>
    <col collapsed="false" customWidth="true" hidden="false" outlineLevel="0" max="10" min="10" style="1" width="14.08"/>
    <col collapsed="false" customWidth="true" hidden="false" outlineLevel="0" max="11" min="11" style="1" width="19.97"/>
    <col collapsed="false" customWidth="true" hidden="false" outlineLevel="0" max="12" min="12" style="1" width="10.91"/>
    <col collapsed="false" customWidth="true" hidden="false" outlineLevel="0" max="13" min="13" style="1" width="31.27"/>
    <col collapsed="false" customWidth="true" hidden="false" outlineLevel="0" max="14" min="14" style="1" width="16.26"/>
    <col collapsed="false" customWidth="true" hidden="false" outlineLevel="0" max="15" min="15" style="1" width="17.44"/>
    <col collapsed="false" customWidth="false" hidden="false" outlineLevel="0" max="16" min="16" style="1" width="10.2"/>
    <col collapsed="false" customWidth="true" hidden="false" outlineLevel="0" max="17" min="17" style="1" width="13.8"/>
    <col collapsed="false" customWidth="true" hidden="false" outlineLevel="0" max="18" min="18" style="1" width="13.49"/>
    <col collapsed="false" customWidth="true" hidden="false" outlineLevel="0" max="19" min="19" style="1" width="19.91"/>
    <col collapsed="false" customWidth="true" hidden="false" outlineLevel="0" max="20" min="20" style="1" width="20.67"/>
    <col collapsed="false" customWidth="true" hidden="false" outlineLevel="0" max="21" min="21" style="1" width="15.73"/>
    <col collapsed="false" customWidth="true" hidden="false" outlineLevel="0" max="22" min="22" style="1" width="9.19"/>
    <col collapsed="false" customWidth="true" hidden="false" outlineLevel="0" max="23" min="23" style="1" width="10.67"/>
    <col collapsed="false" customWidth="true" hidden="false" outlineLevel="0" max="24" min="24" style="1" width="13.08"/>
    <col collapsed="false" customWidth="true" hidden="false" outlineLevel="0" max="25" min="25" style="1" width="12.84"/>
    <col collapsed="false" customWidth="true" hidden="false" outlineLevel="0" max="26" min="26" style="1" width="17.66"/>
    <col collapsed="false" customWidth="true" hidden="false" outlineLevel="0" max="27" min="27" style="1" width="17.61"/>
    <col collapsed="false" customWidth="true" hidden="false" outlineLevel="0" max="28" min="28" style="1" width="20.32"/>
    <col collapsed="false" customWidth="true" hidden="false" outlineLevel="0" max="29" min="29" style="2" width="27.38"/>
    <col collapsed="false" customWidth="true" hidden="false" outlineLevel="0" max="30" min="30" style="1" width="6.72"/>
    <col collapsed="false" customWidth="true" hidden="false" outlineLevel="0" max="31" min="31" style="1" width="14.02"/>
    <col collapsed="false" customWidth="true" hidden="false" outlineLevel="0" max="32" min="32" style="1" width="10.61"/>
    <col collapsed="false" customWidth="true" hidden="false" outlineLevel="0" max="33" min="33" style="1" width="22.91"/>
    <col collapsed="false" customWidth="true" hidden="false" outlineLevel="0" max="34" min="34" style="1" width="17.97"/>
    <col collapsed="false" customWidth="true" hidden="false" outlineLevel="0" max="35" min="35" style="1" width="12.72"/>
    <col collapsed="false" customWidth="true" hidden="false" outlineLevel="0" max="36" min="36" style="1" width="13.32"/>
    <col collapsed="false" customWidth="true" hidden="false" outlineLevel="0" max="37" min="37" style="1" width="10.96"/>
    <col collapsed="false" customWidth="true" hidden="false" outlineLevel="0" max="38" min="38" style="1" width="8.55"/>
    <col collapsed="false" customWidth="true" hidden="false" outlineLevel="0" max="39" min="39" style="1" width="9.08"/>
    <col collapsed="false" customWidth="true" hidden="false" outlineLevel="0" max="40" min="40" style="1" width="7.48"/>
    <col collapsed="false" customWidth="true" hidden="false" outlineLevel="0" max="41" min="41" style="1" width="11.08"/>
    <col collapsed="false" customWidth="true" hidden="false" outlineLevel="0" max="42" min="42" style="1" width="7.25"/>
    <col collapsed="false" customWidth="true" hidden="false" outlineLevel="0" max="43" min="43" style="1" width="11.78"/>
    <col collapsed="false" customWidth="true" hidden="false" outlineLevel="0" max="44" min="44" style="1" width="16.02"/>
    <col collapsed="false" customWidth="true" hidden="false" outlineLevel="0" max="45" min="45" style="1" width="6.13"/>
    <col collapsed="false" customWidth="true" hidden="false" outlineLevel="0" max="46" min="46" style="1" width="6.43"/>
    <col collapsed="false" customWidth="true" hidden="false" outlineLevel="0" max="47" min="47" style="1" width="10.49"/>
    <col collapsed="false" customWidth="true" hidden="false" outlineLevel="0" max="48" min="48" style="1" width="12.37"/>
    <col collapsed="false" customWidth="true" hidden="false" outlineLevel="0" max="49" min="49" style="1" width="6.84"/>
    <col collapsed="false" customWidth="true" hidden="false" outlineLevel="0" max="50" min="50" style="1" width="9.26"/>
    <col collapsed="false" customWidth="true" hidden="false" outlineLevel="0" max="51" min="51" style="1" width="9.19"/>
    <col collapsed="false" customWidth="true" hidden="false" outlineLevel="0" max="52" min="52" style="1" width="10.43"/>
    <col collapsed="false" customWidth="true" hidden="false" outlineLevel="0" max="53" min="53" style="1" width="13.9"/>
    <col collapsed="false" customWidth="true" hidden="false" outlineLevel="0" max="54" min="54" style="1" width="10.49"/>
    <col collapsed="false" customWidth="true" hidden="false" outlineLevel="0" max="55" min="55" style="1" width="8.19"/>
    <col collapsed="false" customWidth="true" hidden="false" outlineLevel="0" max="56" min="56" style="1" width="17.03"/>
    <col collapsed="false" customWidth="true" hidden="false" outlineLevel="0" max="57" min="57" style="1" width="12.08"/>
    <col collapsed="false" customWidth="true" hidden="false" outlineLevel="0" max="58" min="58" style="1" width="13.26"/>
    <col collapsed="false" customWidth="true" hidden="false" outlineLevel="0" max="59" min="59" style="1" width="13.37"/>
    <col collapsed="false" customWidth="true" hidden="false" outlineLevel="0" max="60" min="60" style="1" width="6.43"/>
    <col collapsed="false" customWidth="true" hidden="false" outlineLevel="0" max="61" min="61" style="1" width="14.32"/>
    <col collapsed="false" customWidth="true" hidden="false" outlineLevel="0" max="62" min="62" style="1" width="13.55"/>
    <col collapsed="false" customWidth="true" hidden="false" outlineLevel="0" max="63" min="63" style="1" width="12.2"/>
    <col collapsed="false" customWidth="true" hidden="false" outlineLevel="0" max="64" min="64" style="1" width="9.8"/>
    <col collapsed="false" customWidth="true" hidden="false" outlineLevel="0" max="65" min="65" style="1" width="7.43"/>
    <col collapsed="false" customWidth="false" hidden="false" outlineLevel="0" max="75" min="66" style="1" width="10.16"/>
  </cols>
  <sheetData>
    <row r="1" customFormat="false" ht="16.15" hidden="false" customHeight="false" outlineLevel="0" collapsed="false">
      <c r="A1" s="0" t="s">
        <v>0</v>
      </c>
      <c r="B1" s="0" t="s">
        <v>1</v>
      </c>
      <c r="C1" s="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</row>
    <row r="2" customFormat="false" ht="16.15" hidden="false" customHeight="false" outlineLevel="0" collapsed="false">
      <c r="A2" s="0" t="str">
        <f aca="false">_xlfn.CONCAT(E2, " ", D2)</f>
        <v>Mr. Allen Perl </v>
      </c>
      <c r="B2" s="0" t="str">
        <f aca="false">LEFT(D2, SEARCH(" ",D2,1))</f>
        <v>Allen </v>
      </c>
      <c r="C2" s="5" t="str">
        <f aca="false">RIGHT(D2,LEN(D2)-SEARCH(" ",D2,1))</f>
        <v>Perl 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n">
        <v>6040</v>
      </c>
      <c r="K2" s="1" t="n">
        <v>0</v>
      </c>
      <c r="M2" s="1" t="s">
        <v>71</v>
      </c>
      <c r="N2" s="1" t="s">
        <v>72</v>
      </c>
      <c r="O2" s="1" t="s">
        <v>73</v>
      </c>
      <c r="Q2" s="1" t="s">
        <v>74</v>
      </c>
      <c r="R2" s="1" t="s">
        <v>75</v>
      </c>
      <c r="S2" s="1" t="n">
        <v>22867928</v>
      </c>
      <c r="T2" s="6" t="n">
        <v>5179760000000000</v>
      </c>
      <c r="V2" s="1" t="n">
        <v>10003</v>
      </c>
      <c r="W2" s="1" t="n">
        <v>1106</v>
      </c>
      <c r="X2" s="7" t="n">
        <v>0</v>
      </c>
      <c r="Y2" s="7" t="n">
        <v>0.0202106481481481</v>
      </c>
      <c r="Z2" s="1" t="n">
        <v>29.79</v>
      </c>
      <c r="AA2" s="1" t="s">
        <v>76</v>
      </c>
      <c r="AB2" s="7" t="n">
        <v>0</v>
      </c>
      <c r="AC2" s="2" t="n">
        <v>42578</v>
      </c>
      <c r="AD2" s="1" t="n">
        <v>27</v>
      </c>
      <c r="AE2" s="1" t="n">
        <v>134.24</v>
      </c>
      <c r="AF2" s="1" t="s">
        <v>77</v>
      </c>
      <c r="AG2" s="1" t="s">
        <v>78</v>
      </c>
      <c r="AH2" s="1" t="s">
        <v>79</v>
      </c>
      <c r="AI2" s="1" t="s">
        <v>80</v>
      </c>
      <c r="AJ2" s="1" t="s">
        <v>81</v>
      </c>
      <c r="AK2" s="1" t="n">
        <v>0</v>
      </c>
      <c r="AL2" s="1" t="n">
        <v>0</v>
      </c>
      <c r="AM2" s="1" t="n">
        <v>1</v>
      </c>
      <c r="AN2" s="1" t="n">
        <v>1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1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1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</row>
    <row r="3" customFormat="false" ht="16.15" hidden="false" customHeight="false" outlineLevel="0" collapsed="false">
      <c r="A3" s="0" t="str">
        <f aca="false">_xlfn.CONCAT(E3, " ", D3)</f>
        <v>Mr. Allen Perl </v>
      </c>
      <c r="B3" s="0" t="str">
        <f aca="false">LEFT(D3, SEARCH(" ",D3,1))</f>
        <v>Allen </v>
      </c>
      <c r="C3" s="5" t="str">
        <f aca="false">RIGHT(D3,LEN(D3)-SEARCH(" ",D3,1))</f>
        <v>Perl 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70</v>
      </c>
      <c r="J3" s="1" t="n">
        <v>6040</v>
      </c>
      <c r="K3" s="1" t="n">
        <v>0</v>
      </c>
      <c r="M3" s="1" t="s">
        <v>71</v>
      </c>
      <c r="N3" s="1" t="s">
        <v>72</v>
      </c>
      <c r="O3" s="1" t="s">
        <v>73</v>
      </c>
      <c r="Q3" s="1" t="s">
        <v>74</v>
      </c>
      <c r="R3" s="1" t="s">
        <v>75</v>
      </c>
      <c r="S3" s="1" t="n">
        <v>22867928</v>
      </c>
      <c r="T3" s="6" t="n">
        <v>5151800000000000</v>
      </c>
      <c r="V3" s="1" t="n">
        <v>10003</v>
      </c>
      <c r="W3" s="1" t="n">
        <v>2948</v>
      </c>
      <c r="X3" s="7" t="n">
        <v>0</v>
      </c>
      <c r="Y3" s="7" t="n">
        <v>0.00965972222222222</v>
      </c>
      <c r="Z3" s="1" t="n">
        <v>17.87</v>
      </c>
      <c r="AA3" s="1" t="s">
        <v>82</v>
      </c>
      <c r="AB3" s="7" t="n">
        <v>0</v>
      </c>
      <c r="AC3" s="2" t="n">
        <v>42456</v>
      </c>
      <c r="AD3" s="1" t="n">
        <v>27</v>
      </c>
      <c r="AE3" s="1" t="n">
        <v>53.4</v>
      </c>
      <c r="AF3" s="1" t="s">
        <v>83</v>
      </c>
      <c r="AG3" s="1" t="s">
        <v>78</v>
      </c>
      <c r="AH3" s="1" t="s">
        <v>79</v>
      </c>
      <c r="AI3" s="1" t="s">
        <v>80</v>
      </c>
      <c r="AJ3" s="1" t="s">
        <v>81</v>
      </c>
      <c r="AK3" s="1" t="n">
        <v>0</v>
      </c>
      <c r="AL3" s="1" t="n">
        <v>0</v>
      </c>
      <c r="AM3" s="1" t="n">
        <v>1</v>
      </c>
      <c r="AN3" s="1" t="n">
        <v>0</v>
      </c>
      <c r="AO3" s="1" t="n">
        <v>1</v>
      </c>
      <c r="AP3" s="1" t="n">
        <v>0</v>
      </c>
      <c r="AQ3" s="1" t="n">
        <v>0</v>
      </c>
      <c r="AR3" s="1" t="n">
        <v>1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1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</row>
    <row r="4" customFormat="false" ht="16.15" hidden="false" customHeight="false" outlineLevel="0" collapsed="false">
      <c r="A4" s="0" t="str">
        <f aca="false">_xlfn.CONCAT(E4, " ", D4)</f>
        <v>Mr. Allen Perl </v>
      </c>
      <c r="B4" s="0" t="str">
        <f aca="false">LEFT(D4, SEARCH(" ",D4,1))</f>
        <v>Allen </v>
      </c>
      <c r="C4" s="5" t="str">
        <f aca="false">RIGHT(D4,LEN(D4)-SEARCH(" ",D4,1))</f>
        <v>Perl </v>
      </c>
      <c r="D4" s="1" t="s">
        <v>65</v>
      </c>
      <c r="E4" s="1" t="s">
        <v>66</v>
      </c>
      <c r="F4" s="1" t="s">
        <v>67</v>
      </c>
      <c r="G4" s="1" t="s">
        <v>68</v>
      </c>
      <c r="H4" s="1" t="s">
        <v>69</v>
      </c>
      <c r="I4" s="1" t="s">
        <v>70</v>
      </c>
      <c r="J4" s="1" t="n">
        <v>6040</v>
      </c>
      <c r="K4" s="1" t="n">
        <v>0</v>
      </c>
      <c r="M4" s="1" t="s">
        <v>71</v>
      </c>
      <c r="N4" s="1" t="s">
        <v>72</v>
      </c>
      <c r="O4" s="1" t="s">
        <v>73</v>
      </c>
      <c r="Q4" s="1" t="s">
        <v>74</v>
      </c>
      <c r="R4" s="1" t="s">
        <v>75</v>
      </c>
      <c r="S4" s="1" t="n">
        <v>22867928</v>
      </c>
      <c r="T4" s="6" t="n">
        <v>5172170000000000</v>
      </c>
      <c r="V4" s="1" t="n">
        <v>10003</v>
      </c>
      <c r="W4" s="1" t="n">
        <v>3323</v>
      </c>
      <c r="X4" s="7" t="n">
        <v>0</v>
      </c>
      <c r="Y4" s="7" t="n">
        <v>0.0271550925925926</v>
      </c>
      <c r="Z4" s="1" t="n">
        <v>31.88</v>
      </c>
      <c r="AA4" s="1" t="s">
        <v>84</v>
      </c>
      <c r="AB4" s="7" t="n">
        <v>0</v>
      </c>
      <c r="AC4" s="2" t="n">
        <v>42640</v>
      </c>
      <c r="AD4" s="1" t="n">
        <v>27</v>
      </c>
      <c r="AE4" s="1" t="n">
        <v>26.25</v>
      </c>
      <c r="AF4" s="1" t="s">
        <v>77</v>
      </c>
      <c r="AG4" s="1" t="s">
        <v>85</v>
      </c>
      <c r="AH4" s="1" t="s">
        <v>79</v>
      </c>
      <c r="AI4" s="1" t="s">
        <v>86</v>
      </c>
      <c r="AJ4" s="1" t="s">
        <v>81</v>
      </c>
      <c r="AK4" s="1" t="n">
        <v>0</v>
      </c>
      <c r="AL4" s="1" t="n">
        <v>1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1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1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</row>
    <row r="5" customFormat="false" ht="16.15" hidden="false" customHeight="false" outlineLevel="0" collapsed="false">
      <c r="A5" s="0" t="str">
        <f aca="false">_xlfn.CONCAT(E5, " ", D5)</f>
        <v>Mr. Allen Perl </v>
      </c>
      <c r="B5" s="0" t="str">
        <f aca="false">LEFT(D5, SEARCH(" ",D5,1))</f>
        <v>Allen </v>
      </c>
      <c r="C5" s="5" t="str">
        <f aca="false">RIGHT(D5,LEN(D5)-SEARCH(" ",D5,1))</f>
        <v>Perl 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n">
        <v>6040</v>
      </c>
      <c r="K5" s="1" t="n">
        <v>0</v>
      </c>
      <c r="M5" s="1" t="s">
        <v>71</v>
      </c>
      <c r="N5" s="1" t="s">
        <v>72</v>
      </c>
      <c r="O5" s="1" t="s">
        <v>73</v>
      </c>
      <c r="Q5" s="1" t="s">
        <v>74</v>
      </c>
      <c r="R5" s="1" t="s">
        <v>75</v>
      </c>
      <c r="S5" s="1" t="n">
        <v>22867928</v>
      </c>
      <c r="T5" s="6" t="n">
        <v>5159250000000000</v>
      </c>
      <c r="V5" s="1" t="n">
        <v>10003</v>
      </c>
      <c r="W5" s="1" t="n">
        <v>7498</v>
      </c>
      <c r="X5" s="7" t="n">
        <v>0</v>
      </c>
      <c r="Y5" s="7" t="n">
        <v>0.01384375</v>
      </c>
      <c r="Z5" s="1" t="n">
        <v>18.45</v>
      </c>
      <c r="AA5" s="1" t="s">
        <v>87</v>
      </c>
      <c r="AB5" s="7" t="n">
        <v>0</v>
      </c>
      <c r="AC5" s="2" t="n">
        <v>42430</v>
      </c>
      <c r="AD5" s="1" t="n">
        <v>27</v>
      </c>
      <c r="AE5" s="1" t="n">
        <v>5.65</v>
      </c>
      <c r="AF5" s="1" t="s">
        <v>77</v>
      </c>
      <c r="AG5" s="1" t="s">
        <v>78</v>
      </c>
      <c r="AH5" s="1" t="s">
        <v>79</v>
      </c>
      <c r="AI5" s="1" t="s">
        <v>86</v>
      </c>
      <c r="AJ5" s="1" t="s">
        <v>81</v>
      </c>
      <c r="AK5" s="1" t="n">
        <v>0</v>
      </c>
      <c r="AL5" s="1" t="n">
        <v>0</v>
      </c>
      <c r="AM5" s="1" t="n">
        <v>0</v>
      </c>
      <c r="AN5" s="1" t="n">
        <v>1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1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</row>
    <row r="6" customFormat="false" ht="16.15" hidden="false" customHeight="false" outlineLevel="0" collapsed="false">
      <c r="A6" s="0" t="str">
        <f aca="false">_xlfn.CONCAT(E6, " ", D6)</f>
        <v>Mr. Allen Perl </v>
      </c>
      <c r="B6" s="0" t="str">
        <f aca="false">LEFT(D6, SEARCH(" ",D6,1))</f>
        <v>Allen </v>
      </c>
      <c r="C6" s="5" t="str">
        <f aca="false">RIGHT(D6,LEN(D6)-SEARCH(" ",D6,1))</f>
        <v>Perl </v>
      </c>
      <c r="D6" s="1" t="s">
        <v>65</v>
      </c>
      <c r="E6" s="1" t="s">
        <v>66</v>
      </c>
      <c r="F6" s="1" t="s">
        <v>67</v>
      </c>
      <c r="G6" s="1" t="s">
        <v>68</v>
      </c>
      <c r="H6" s="1" t="s">
        <v>69</v>
      </c>
      <c r="I6" s="1" t="s">
        <v>70</v>
      </c>
      <c r="J6" s="1" t="n">
        <v>6040</v>
      </c>
      <c r="K6" s="1" t="n">
        <v>0</v>
      </c>
      <c r="M6" s="1" t="s">
        <v>71</v>
      </c>
      <c r="N6" s="1" t="s">
        <v>72</v>
      </c>
      <c r="O6" s="1" t="s">
        <v>73</v>
      </c>
      <c r="Q6" s="1" t="s">
        <v>74</v>
      </c>
      <c r="R6" s="1" t="s">
        <v>75</v>
      </c>
      <c r="S6" s="1" t="n">
        <v>22867928</v>
      </c>
      <c r="T6" s="6" t="n">
        <v>5139430000000000</v>
      </c>
      <c r="V6" s="1" t="n">
        <v>10003</v>
      </c>
      <c r="W6" s="1" t="n">
        <v>7973</v>
      </c>
      <c r="X6" s="7" t="n">
        <v>0</v>
      </c>
      <c r="Y6" s="7" t="n">
        <v>0.00528240740740741</v>
      </c>
      <c r="Z6" s="1" t="n">
        <v>23.12</v>
      </c>
      <c r="AA6" s="1" t="s">
        <v>88</v>
      </c>
      <c r="AB6" s="7" t="n">
        <v>0</v>
      </c>
      <c r="AC6" s="2" t="n">
        <v>42373</v>
      </c>
      <c r="AD6" s="1" t="n">
        <v>27</v>
      </c>
      <c r="AE6" s="1" t="n">
        <v>44.43</v>
      </c>
      <c r="AF6" s="1" t="s">
        <v>77</v>
      </c>
      <c r="AG6" s="1" t="s">
        <v>78</v>
      </c>
      <c r="AH6" s="1" t="s">
        <v>79</v>
      </c>
      <c r="AI6" s="1" t="s">
        <v>86</v>
      </c>
      <c r="AJ6" s="1" t="s">
        <v>81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1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</row>
    <row r="7" customFormat="false" ht="16.15" hidden="false" customHeight="false" outlineLevel="0" collapsed="false">
      <c r="A7" s="0" t="str">
        <f aca="false">_xlfn.CONCAT(E7, " ", D7)</f>
        <v>Mr. Allen Perl </v>
      </c>
      <c r="B7" s="0" t="str">
        <f aca="false">LEFT(D7, SEARCH(" ",D7,1))</f>
        <v>Allen </v>
      </c>
      <c r="C7" s="5" t="str">
        <f aca="false">RIGHT(D7,LEN(D7)-SEARCH(" ",D7,1))</f>
        <v>Perl 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70</v>
      </c>
      <c r="J7" s="1" t="n">
        <v>6040</v>
      </c>
      <c r="K7" s="1" t="n">
        <v>0</v>
      </c>
      <c r="M7" s="1" t="s">
        <v>71</v>
      </c>
      <c r="N7" s="1" t="s">
        <v>72</v>
      </c>
      <c r="O7" s="1" t="s">
        <v>73</v>
      </c>
      <c r="Q7" s="1" t="s">
        <v>74</v>
      </c>
      <c r="R7" s="1" t="s">
        <v>75</v>
      </c>
      <c r="S7" s="1" t="n">
        <v>22867928</v>
      </c>
      <c r="T7" s="6" t="n">
        <v>5121840000000000</v>
      </c>
      <c r="V7" s="1" t="n">
        <v>10003</v>
      </c>
      <c r="W7" s="1" t="n">
        <v>9107</v>
      </c>
      <c r="X7" s="7" t="n">
        <v>0</v>
      </c>
      <c r="Y7" s="7" t="n">
        <v>0.00528240740740741</v>
      </c>
      <c r="Z7" s="1" t="n">
        <v>22.77</v>
      </c>
      <c r="AA7" s="1" t="s">
        <v>89</v>
      </c>
      <c r="AB7" s="7" t="n">
        <v>0</v>
      </c>
      <c r="AC7" s="2" t="n">
        <v>42372</v>
      </c>
      <c r="AD7" s="1" t="n">
        <v>27</v>
      </c>
      <c r="AE7" s="1" t="n">
        <v>24.18</v>
      </c>
      <c r="AF7" s="1" t="s">
        <v>77</v>
      </c>
      <c r="AG7" s="1" t="s">
        <v>78</v>
      </c>
      <c r="AH7" s="1" t="s">
        <v>79</v>
      </c>
      <c r="AI7" s="1" t="s">
        <v>86</v>
      </c>
      <c r="AJ7" s="1" t="s">
        <v>81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1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</row>
    <row r="8" customFormat="false" ht="16.15" hidden="false" customHeight="false" outlineLevel="0" collapsed="false">
      <c r="A8" s="0" t="str">
        <f aca="false">_xlfn.CONCAT(E8, " ", D8)</f>
        <v>Mr. Anthony Whitney </v>
      </c>
      <c r="B8" s="0" t="str">
        <f aca="false">LEFT(D8, SEARCH(" ",D8,1))</f>
        <v>Anthony </v>
      </c>
      <c r="C8" s="5" t="str">
        <f aca="false">RIGHT(D8,LEN(D8)-SEARCH(" ",D8,1))</f>
        <v>Whitney </v>
      </c>
      <c r="D8" s="1" t="s">
        <v>90</v>
      </c>
      <c r="E8" s="1" t="s">
        <v>66</v>
      </c>
      <c r="F8" s="1" t="s">
        <v>91</v>
      </c>
      <c r="G8" s="1" t="s">
        <v>92</v>
      </c>
      <c r="I8" s="1" t="s">
        <v>93</v>
      </c>
      <c r="J8" s="1" t="n">
        <v>88480</v>
      </c>
      <c r="K8" s="1" t="n">
        <v>0</v>
      </c>
      <c r="M8" s="1" t="s">
        <v>94</v>
      </c>
      <c r="N8" s="1" t="s">
        <v>95</v>
      </c>
      <c r="O8" s="1" t="s">
        <v>96</v>
      </c>
      <c r="Q8" s="1" t="s">
        <v>97</v>
      </c>
      <c r="R8" s="1" t="s">
        <v>70</v>
      </c>
      <c r="S8" s="1" t="s">
        <v>98</v>
      </c>
      <c r="T8" s="6" t="n">
        <v>4469930000000000</v>
      </c>
      <c r="V8" s="1" t="n">
        <v>10007</v>
      </c>
      <c r="W8" s="1" t="n">
        <v>7441</v>
      </c>
      <c r="X8" s="7" t="n">
        <v>0</v>
      </c>
      <c r="Y8" s="7" t="n">
        <v>0.0271550925925926</v>
      </c>
      <c r="Z8" s="1" t="n">
        <v>11.05</v>
      </c>
      <c r="AA8" s="1" t="s">
        <v>99</v>
      </c>
      <c r="AB8" s="7" t="n">
        <v>0</v>
      </c>
      <c r="AC8" s="2" t="n">
        <v>42427</v>
      </c>
      <c r="AD8" s="1" t="s">
        <v>100</v>
      </c>
      <c r="AE8" s="1" t="n">
        <v>65.8</v>
      </c>
      <c r="AF8" s="1" t="s">
        <v>77</v>
      </c>
      <c r="AG8" s="1" t="s">
        <v>85</v>
      </c>
      <c r="AH8" s="1" t="s">
        <v>101</v>
      </c>
      <c r="AI8" s="1" t="s">
        <v>102</v>
      </c>
      <c r="AJ8" s="1" t="s">
        <v>103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1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1</v>
      </c>
      <c r="BA8" s="1" t="n">
        <v>0</v>
      </c>
      <c r="BB8" s="1" t="n">
        <v>1</v>
      </c>
      <c r="BC8" s="1" t="n">
        <v>0</v>
      </c>
      <c r="BD8" s="1" t="n">
        <v>0</v>
      </c>
      <c r="BE8" s="1" t="n">
        <v>0</v>
      </c>
      <c r="BF8" s="1" t="n">
        <v>1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1</v>
      </c>
      <c r="BM8" s="1" t="n">
        <v>0</v>
      </c>
    </row>
    <row r="9" customFormat="false" ht="16.15" hidden="false" customHeight="false" outlineLevel="0" collapsed="false">
      <c r="A9" s="0" t="str">
        <f aca="false">_xlfn.CONCAT(E9, " ", D9)</f>
        <v>Mr. Thomas Owens </v>
      </c>
      <c r="B9" s="0" t="str">
        <f aca="false">LEFT(D9, SEARCH(" ",D9,1))</f>
        <v>Thomas </v>
      </c>
      <c r="C9" s="5" t="str">
        <f aca="false">RIGHT(D9,LEN(D9)-SEARCH(" ",D9,1))</f>
        <v>Owens </v>
      </c>
      <c r="D9" s="1" t="s">
        <v>104</v>
      </c>
      <c r="E9" s="1" t="s">
        <v>66</v>
      </c>
      <c r="F9" s="1" t="s">
        <v>105</v>
      </c>
      <c r="G9" s="1" t="s">
        <v>106</v>
      </c>
      <c r="H9" s="1" t="s">
        <v>107</v>
      </c>
      <c r="I9" s="1" t="s">
        <v>70</v>
      </c>
      <c r="J9" s="1" t="n">
        <v>88041</v>
      </c>
      <c r="K9" s="1" t="n">
        <v>0</v>
      </c>
      <c r="M9" s="1" t="s">
        <v>108</v>
      </c>
      <c r="N9" s="1" t="s">
        <v>109</v>
      </c>
      <c r="O9" s="1" t="s">
        <v>96</v>
      </c>
      <c r="Q9" s="1" t="s">
        <v>88</v>
      </c>
      <c r="R9" s="1" t="s">
        <v>110</v>
      </c>
      <c r="S9" s="6" t="n">
        <v>148000000000000</v>
      </c>
      <c r="T9" s="6" t="n">
        <v>4662810000000000</v>
      </c>
      <c r="V9" s="1" t="n">
        <v>10015</v>
      </c>
      <c r="W9" s="1" t="n">
        <v>627</v>
      </c>
      <c r="X9" s="7" t="n">
        <v>0.0329282407407407</v>
      </c>
      <c r="Y9" s="7" t="n">
        <v>0.0329328703703704</v>
      </c>
      <c r="Z9" s="1" t="n">
        <v>6.37</v>
      </c>
      <c r="AA9" s="1" t="s">
        <v>111</v>
      </c>
      <c r="AB9" s="7" t="n">
        <v>0.0329282407407407</v>
      </c>
      <c r="AC9" s="2" t="n">
        <v>42498</v>
      </c>
      <c r="AD9" s="1" t="n">
        <v>60</v>
      </c>
      <c r="AE9" s="1" t="n">
        <v>40.34</v>
      </c>
      <c r="AF9" s="1" t="s">
        <v>77</v>
      </c>
      <c r="AG9" s="1" t="s">
        <v>78</v>
      </c>
      <c r="AH9" s="1" t="s">
        <v>112</v>
      </c>
      <c r="AI9" s="1" t="s">
        <v>86</v>
      </c>
      <c r="AJ9" s="1" t="s">
        <v>113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1</v>
      </c>
      <c r="AV9" s="1" t="n">
        <v>0</v>
      </c>
      <c r="AW9" s="1" t="n">
        <v>1</v>
      </c>
      <c r="AX9" s="1" t="n">
        <v>1</v>
      </c>
      <c r="AY9" s="1" t="n">
        <v>0</v>
      </c>
      <c r="AZ9" s="1" t="n">
        <v>0</v>
      </c>
      <c r="BA9" s="1" t="n">
        <v>1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</row>
    <row r="10" customFormat="false" ht="16.15" hidden="false" customHeight="false" outlineLevel="0" collapsed="false">
      <c r="A10" s="0" t="str">
        <f aca="false">_xlfn.CONCAT(E10, " ", D10)</f>
        <v>Mr. Thomas Owens </v>
      </c>
      <c r="B10" s="0" t="str">
        <f aca="false">LEFT(D10, SEARCH(" ",D10,1))</f>
        <v>Thomas </v>
      </c>
      <c r="C10" s="5" t="str">
        <f aca="false">RIGHT(D10,LEN(D10)-SEARCH(" ",D10,1))</f>
        <v>Owens </v>
      </c>
      <c r="D10" s="1" t="s">
        <v>104</v>
      </c>
      <c r="E10" s="1" t="s">
        <v>66</v>
      </c>
      <c r="F10" s="1" t="s">
        <v>105</v>
      </c>
      <c r="G10" s="1" t="s">
        <v>106</v>
      </c>
      <c r="H10" s="1" t="s">
        <v>107</v>
      </c>
      <c r="I10" s="1" t="s">
        <v>70</v>
      </c>
      <c r="J10" s="1" t="n">
        <v>88041</v>
      </c>
      <c r="K10" s="1" t="n">
        <v>0</v>
      </c>
      <c r="M10" s="1" t="s">
        <v>108</v>
      </c>
      <c r="N10" s="1" t="s">
        <v>109</v>
      </c>
      <c r="O10" s="1" t="s">
        <v>96</v>
      </c>
      <c r="Q10" s="1" t="s">
        <v>88</v>
      </c>
      <c r="R10" s="1" t="s">
        <v>110</v>
      </c>
      <c r="S10" s="6" t="n">
        <v>148000000000000</v>
      </c>
      <c r="T10" s="6" t="n">
        <v>4016650000000000</v>
      </c>
      <c r="V10" s="1" t="n">
        <v>10015</v>
      </c>
      <c r="W10" s="1" t="n">
        <v>1209</v>
      </c>
      <c r="X10" s="7" t="n">
        <v>0</v>
      </c>
      <c r="Y10" s="7" t="n">
        <v>0.0304930555555556</v>
      </c>
      <c r="Z10" s="1" t="n">
        <v>23.37</v>
      </c>
      <c r="AA10" s="1" t="s">
        <v>114</v>
      </c>
      <c r="AB10" s="7" t="n">
        <v>0</v>
      </c>
      <c r="AC10" s="2" t="n">
        <v>42427</v>
      </c>
      <c r="AD10" s="1" t="n">
        <v>60</v>
      </c>
      <c r="AE10" s="1" t="n">
        <v>18.81</v>
      </c>
      <c r="AF10" s="1" t="s">
        <v>115</v>
      </c>
      <c r="AG10" s="1" t="s">
        <v>78</v>
      </c>
      <c r="AH10" s="1" t="s">
        <v>112</v>
      </c>
      <c r="AI10" s="1" t="s">
        <v>86</v>
      </c>
      <c r="AJ10" s="1" t="s">
        <v>113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1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</row>
    <row r="11" customFormat="false" ht="16.15" hidden="false" customHeight="false" outlineLevel="0" collapsed="false">
      <c r="A11" s="0" t="str">
        <f aca="false">_xlfn.CONCAT(E11, " ", D11)</f>
        <v>Mr. Thomas Owens </v>
      </c>
      <c r="B11" s="0" t="str">
        <f aca="false">LEFT(D11, SEARCH(" ",D11,1))</f>
        <v>Thomas </v>
      </c>
      <c r="C11" s="5" t="str">
        <f aca="false">RIGHT(D11,LEN(D11)-SEARCH(" ",D11,1))</f>
        <v>Owens </v>
      </c>
      <c r="D11" s="1" t="s">
        <v>104</v>
      </c>
      <c r="E11" s="1" t="s">
        <v>66</v>
      </c>
      <c r="F11" s="1" t="s">
        <v>105</v>
      </c>
      <c r="G11" s="1" t="s">
        <v>106</v>
      </c>
      <c r="H11" s="1" t="s">
        <v>107</v>
      </c>
      <c r="I11" s="1" t="s">
        <v>70</v>
      </c>
      <c r="J11" s="1" t="n">
        <v>88041</v>
      </c>
      <c r="K11" s="1" t="n">
        <v>0</v>
      </c>
      <c r="M11" s="1" t="s">
        <v>108</v>
      </c>
      <c r="N11" s="1" t="s">
        <v>109</v>
      </c>
      <c r="O11" s="1" t="s">
        <v>96</v>
      </c>
      <c r="Q11" s="1" t="s">
        <v>88</v>
      </c>
      <c r="R11" s="1" t="s">
        <v>110</v>
      </c>
      <c r="S11" s="6" t="n">
        <v>148000000000000</v>
      </c>
      <c r="T11" s="6" t="n">
        <v>4563880000000000</v>
      </c>
      <c r="V11" s="1" t="n">
        <v>10015</v>
      </c>
      <c r="W11" s="1" t="n">
        <v>1556</v>
      </c>
      <c r="X11" s="7" t="n">
        <v>0</v>
      </c>
      <c r="Y11" s="7" t="n">
        <v>0.0255196759259259</v>
      </c>
      <c r="Z11" s="1" t="n">
        <v>19.81</v>
      </c>
      <c r="AA11" s="1" t="s">
        <v>116</v>
      </c>
      <c r="AB11" s="7" t="n">
        <v>0</v>
      </c>
      <c r="AC11" s="2" t="n">
        <v>42648</v>
      </c>
      <c r="AD11" s="1" t="n">
        <v>60</v>
      </c>
      <c r="AE11" s="1" t="n">
        <v>34.04</v>
      </c>
      <c r="AF11" s="1" t="s">
        <v>77</v>
      </c>
      <c r="AG11" s="1" t="s">
        <v>78</v>
      </c>
      <c r="AH11" s="1" t="s">
        <v>112</v>
      </c>
      <c r="AI11" s="1" t="s">
        <v>86</v>
      </c>
      <c r="AJ11" s="1" t="s">
        <v>113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1</v>
      </c>
      <c r="BJ11" s="1" t="n">
        <v>0</v>
      </c>
      <c r="BK11" s="1" t="n">
        <v>0</v>
      </c>
      <c r="BL11" s="1" t="n">
        <v>0</v>
      </c>
      <c r="BM11" s="1" t="n">
        <v>0</v>
      </c>
    </row>
    <row r="12" customFormat="false" ht="16.15" hidden="false" customHeight="false" outlineLevel="0" collapsed="false">
      <c r="A12" s="0" t="str">
        <f aca="false">_xlfn.CONCAT(E12, " ", D12)</f>
        <v>Mr. Thomas Owens </v>
      </c>
      <c r="B12" s="0" t="str">
        <f aca="false">LEFT(D12, SEARCH(" ",D12,1))</f>
        <v>Thomas </v>
      </c>
      <c r="C12" s="5" t="str">
        <f aca="false">RIGHT(D12,LEN(D12)-SEARCH(" ",D12,1))</f>
        <v>Owens </v>
      </c>
      <c r="D12" s="1" t="s">
        <v>104</v>
      </c>
      <c r="E12" s="1" t="s">
        <v>66</v>
      </c>
      <c r="F12" s="1" t="s">
        <v>105</v>
      </c>
      <c r="G12" s="1" t="s">
        <v>106</v>
      </c>
      <c r="H12" s="1" t="s">
        <v>107</v>
      </c>
      <c r="I12" s="1" t="s">
        <v>70</v>
      </c>
      <c r="J12" s="1" t="n">
        <v>88041</v>
      </c>
      <c r="K12" s="1" t="n">
        <v>0</v>
      </c>
      <c r="M12" s="1" t="s">
        <v>108</v>
      </c>
      <c r="N12" s="1" t="s">
        <v>109</v>
      </c>
      <c r="O12" s="1" t="s">
        <v>96</v>
      </c>
      <c r="Q12" s="1" t="s">
        <v>88</v>
      </c>
      <c r="R12" s="1" t="s">
        <v>110</v>
      </c>
      <c r="S12" s="6" t="n">
        <v>148000000000000</v>
      </c>
      <c r="T12" s="6" t="n">
        <v>4621020000000000</v>
      </c>
      <c r="V12" s="1" t="n">
        <v>10015</v>
      </c>
      <c r="W12" s="1" t="n">
        <v>8633</v>
      </c>
      <c r="X12" s="7" t="n">
        <v>0</v>
      </c>
      <c r="Y12" s="7" t="n">
        <v>0.0120902777777778</v>
      </c>
      <c r="Z12" s="1" t="n">
        <v>11.15</v>
      </c>
      <c r="AA12" s="1" t="s">
        <v>117</v>
      </c>
      <c r="AB12" s="7" t="n">
        <v>0</v>
      </c>
      <c r="AC12" s="2" t="n">
        <v>42602</v>
      </c>
      <c r="AD12" s="1" t="n">
        <v>60</v>
      </c>
      <c r="AE12" s="1" t="n">
        <v>49.94</v>
      </c>
      <c r="AF12" s="1" t="s">
        <v>115</v>
      </c>
      <c r="AG12" s="1" t="s">
        <v>78</v>
      </c>
      <c r="AH12" s="1" t="s">
        <v>112</v>
      </c>
      <c r="AI12" s="1" t="s">
        <v>86</v>
      </c>
      <c r="AJ12" s="1" t="s">
        <v>113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1</v>
      </c>
      <c r="AV12" s="1" t="n">
        <v>0</v>
      </c>
      <c r="AW12" s="1" t="n">
        <v>1</v>
      </c>
      <c r="AX12" s="1" t="n">
        <v>1</v>
      </c>
      <c r="AY12" s="1" t="n">
        <v>0</v>
      </c>
      <c r="AZ12" s="1" t="n">
        <v>0</v>
      </c>
      <c r="BA12" s="1" t="n">
        <v>1</v>
      </c>
      <c r="BB12" s="1" t="n">
        <v>0</v>
      </c>
      <c r="BC12" s="1" t="n">
        <v>0</v>
      </c>
      <c r="BD12" s="1" t="n">
        <v>0</v>
      </c>
      <c r="BE12" s="1" t="n">
        <v>1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</row>
    <row r="13" customFormat="false" ht="16.15" hidden="false" customHeight="false" outlineLevel="0" collapsed="false">
      <c r="A13" s="0" t="str">
        <f aca="false">_xlfn.CONCAT(E13, " ", D13)</f>
        <v>Mr. Anthony Carr </v>
      </c>
      <c r="B13" s="0" t="str">
        <f aca="false">LEFT(D13, SEARCH(" ",D13,1))</f>
        <v>Anthony </v>
      </c>
      <c r="C13" s="5" t="str">
        <f aca="false">RIGHT(D13,LEN(D13)-SEARCH(" ",D13,1))</f>
        <v>Carr </v>
      </c>
      <c r="D13" s="1" t="s">
        <v>118</v>
      </c>
      <c r="E13" s="1" t="s">
        <v>66</v>
      </c>
      <c r="F13" s="1" t="s">
        <v>119</v>
      </c>
      <c r="G13" s="1" t="s">
        <v>120</v>
      </c>
      <c r="I13" s="1" t="s">
        <v>121</v>
      </c>
      <c r="J13" s="1" t="n">
        <v>37511</v>
      </c>
      <c r="K13" s="1" t="n">
        <v>0</v>
      </c>
      <c r="M13" s="1" t="s">
        <v>122</v>
      </c>
      <c r="N13" s="1" t="s">
        <v>123</v>
      </c>
      <c r="O13" s="1" t="s">
        <v>124</v>
      </c>
      <c r="Q13" s="1" t="s">
        <v>125</v>
      </c>
      <c r="R13" s="1" t="s">
        <v>70</v>
      </c>
      <c r="S13" s="1" t="s">
        <v>126</v>
      </c>
      <c r="T13" s="6" t="n">
        <v>6011480000000000</v>
      </c>
      <c r="V13" s="1" t="n">
        <v>10019</v>
      </c>
      <c r="W13" s="1" t="n">
        <v>792</v>
      </c>
      <c r="X13" s="7" t="n">
        <v>0</v>
      </c>
      <c r="Y13" s="7" t="n">
        <v>0.0332916666666667</v>
      </c>
      <c r="Z13" s="1" t="n">
        <v>9.22</v>
      </c>
      <c r="AA13" s="1" t="s">
        <v>127</v>
      </c>
      <c r="AB13" s="7" t="n">
        <v>0</v>
      </c>
      <c r="AC13" s="2" t="n">
        <v>42420</v>
      </c>
      <c r="AD13" s="1" t="n">
        <v>53</v>
      </c>
      <c r="AE13" s="1" t="n">
        <v>28.35</v>
      </c>
      <c r="AF13" s="1" t="s">
        <v>77</v>
      </c>
      <c r="AG13" s="1" t="s">
        <v>78</v>
      </c>
      <c r="AH13" s="1" t="s">
        <v>112</v>
      </c>
      <c r="AI13" s="1" t="s">
        <v>86</v>
      </c>
      <c r="AJ13" s="1" t="s">
        <v>113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1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</row>
    <row r="14" customFormat="false" ht="16.15" hidden="false" customHeight="false" outlineLevel="0" collapsed="false">
      <c r="A14" s="0" t="str">
        <f aca="false">_xlfn.CONCAT(E14, " ", D14)</f>
        <v>Mr. Anthony Carr </v>
      </c>
      <c r="B14" s="0" t="str">
        <f aca="false">LEFT(D14, SEARCH(" ",D14,1))</f>
        <v>Anthony </v>
      </c>
      <c r="C14" s="5" t="str">
        <f aca="false">RIGHT(D14,LEN(D14)-SEARCH(" ",D14,1))</f>
        <v>Carr </v>
      </c>
      <c r="D14" s="1" t="s">
        <v>118</v>
      </c>
      <c r="E14" s="1" t="s">
        <v>66</v>
      </c>
      <c r="F14" s="1" t="s">
        <v>119</v>
      </c>
      <c r="G14" s="1" t="s">
        <v>120</v>
      </c>
      <c r="I14" s="1" t="s">
        <v>121</v>
      </c>
      <c r="J14" s="1" t="n">
        <v>37511</v>
      </c>
      <c r="K14" s="1" t="n">
        <v>0</v>
      </c>
      <c r="M14" s="1" t="s">
        <v>122</v>
      </c>
      <c r="N14" s="1" t="s">
        <v>123</v>
      </c>
      <c r="O14" s="1" t="s">
        <v>124</v>
      </c>
      <c r="Q14" s="1" t="s">
        <v>125</v>
      </c>
      <c r="R14" s="1" t="s">
        <v>70</v>
      </c>
      <c r="S14" s="1" t="s">
        <v>126</v>
      </c>
      <c r="T14" s="6" t="n">
        <v>6011530000000000</v>
      </c>
      <c r="V14" s="1" t="n">
        <v>10019</v>
      </c>
      <c r="W14" s="1" t="n">
        <v>1257</v>
      </c>
      <c r="X14" s="7" t="n">
        <v>0</v>
      </c>
      <c r="Y14" s="7" t="n">
        <v>0.0329236111111111</v>
      </c>
      <c r="Z14" s="1" t="n">
        <v>13.33</v>
      </c>
      <c r="AA14" s="1" t="s">
        <v>128</v>
      </c>
      <c r="AB14" s="7" t="n">
        <v>0</v>
      </c>
      <c r="AC14" s="2" t="n">
        <v>42602</v>
      </c>
      <c r="AD14" s="1" t="n">
        <v>53</v>
      </c>
      <c r="AE14" s="1" t="n">
        <v>29.82</v>
      </c>
      <c r="AF14" s="1" t="s">
        <v>77</v>
      </c>
      <c r="AG14" s="1" t="s">
        <v>78</v>
      </c>
      <c r="AH14" s="1" t="s">
        <v>112</v>
      </c>
      <c r="AI14" s="1" t="s">
        <v>86</v>
      </c>
      <c r="AJ14" s="1" t="s">
        <v>113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1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1</v>
      </c>
      <c r="BJ14" s="1" t="n">
        <v>0</v>
      </c>
      <c r="BK14" s="1" t="n">
        <v>0</v>
      </c>
      <c r="BL14" s="1" t="n">
        <v>0</v>
      </c>
      <c r="BM14" s="1" t="n">
        <v>0</v>
      </c>
    </row>
    <row r="15" customFormat="false" ht="16.15" hidden="false" customHeight="false" outlineLevel="0" collapsed="false">
      <c r="A15" s="0" t="str">
        <f aca="false">_xlfn.CONCAT(E15, " ", D15)</f>
        <v>Mr. Anthony Carr </v>
      </c>
      <c r="B15" s="0" t="str">
        <f aca="false">LEFT(D15, SEARCH(" ",D15,1))</f>
        <v>Anthony </v>
      </c>
      <c r="C15" s="5" t="str">
        <f aca="false">RIGHT(D15,LEN(D15)-SEARCH(" ",D15,1))</f>
        <v>Carr </v>
      </c>
      <c r="D15" s="1" t="s">
        <v>118</v>
      </c>
      <c r="E15" s="1" t="s">
        <v>66</v>
      </c>
      <c r="F15" s="1" t="s">
        <v>119</v>
      </c>
      <c r="G15" s="1" t="s">
        <v>120</v>
      </c>
      <c r="I15" s="1" t="s">
        <v>121</v>
      </c>
      <c r="J15" s="1" t="n">
        <v>37511</v>
      </c>
      <c r="K15" s="1" t="n">
        <v>0</v>
      </c>
      <c r="M15" s="1" t="s">
        <v>122</v>
      </c>
      <c r="N15" s="1" t="s">
        <v>123</v>
      </c>
      <c r="O15" s="1" t="s">
        <v>124</v>
      </c>
      <c r="Q15" s="1" t="s">
        <v>125</v>
      </c>
      <c r="R15" s="1" t="s">
        <v>70</v>
      </c>
      <c r="S15" s="1" t="s">
        <v>126</v>
      </c>
      <c r="T15" s="6" t="n">
        <v>6011080000000000</v>
      </c>
      <c r="V15" s="1" t="n">
        <v>10019</v>
      </c>
      <c r="W15" s="1" t="n">
        <v>2488</v>
      </c>
      <c r="X15" s="7" t="n">
        <v>0</v>
      </c>
      <c r="Y15" s="7" t="n">
        <v>0.00965972222222222</v>
      </c>
      <c r="Z15" s="1" t="n">
        <v>2.87</v>
      </c>
      <c r="AA15" s="1" t="s">
        <v>82</v>
      </c>
      <c r="AB15" s="7" t="n">
        <v>0</v>
      </c>
      <c r="AC15" s="2" t="n">
        <v>42456</v>
      </c>
      <c r="AD15" s="1" t="n">
        <v>53</v>
      </c>
      <c r="AE15" s="1" t="n">
        <v>14.36</v>
      </c>
      <c r="AF15" s="1" t="s">
        <v>77</v>
      </c>
      <c r="AG15" s="1" t="s">
        <v>78</v>
      </c>
      <c r="AH15" s="1" t="s">
        <v>112</v>
      </c>
      <c r="AI15" s="1" t="s">
        <v>86</v>
      </c>
      <c r="AJ15" s="1" t="s">
        <v>113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1</v>
      </c>
      <c r="AV15" s="1" t="n">
        <v>0</v>
      </c>
      <c r="AW15" s="1" t="n">
        <v>1</v>
      </c>
      <c r="AX15" s="1" t="n">
        <v>1</v>
      </c>
      <c r="AY15" s="1" t="n">
        <v>0</v>
      </c>
      <c r="AZ15" s="1" t="n">
        <v>0</v>
      </c>
      <c r="BA15" s="1" t="n">
        <v>1</v>
      </c>
      <c r="BB15" s="1" t="n">
        <v>0</v>
      </c>
      <c r="BC15" s="1" t="n">
        <v>0</v>
      </c>
      <c r="BD15" s="1" t="n">
        <v>0</v>
      </c>
      <c r="BE15" s="1" t="n">
        <v>1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</row>
    <row r="16" customFormat="false" ht="16.15" hidden="false" customHeight="false" outlineLevel="0" collapsed="false">
      <c r="A16" s="0" t="str">
        <f aca="false">_xlfn.CONCAT(E16, " ", D16)</f>
        <v>Mr. Anthony Carr </v>
      </c>
      <c r="B16" s="0" t="str">
        <f aca="false">LEFT(D16, SEARCH(" ",D16,1))</f>
        <v>Anthony </v>
      </c>
      <c r="C16" s="5" t="str">
        <f aca="false">RIGHT(D16,LEN(D16)-SEARCH(" ",D16,1))</f>
        <v>Carr </v>
      </c>
      <c r="D16" s="1" t="s">
        <v>118</v>
      </c>
      <c r="E16" s="1" t="s">
        <v>66</v>
      </c>
      <c r="F16" s="1" t="s">
        <v>119</v>
      </c>
      <c r="G16" s="1" t="s">
        <v>120</v>
      </c>
      <c r="I16" s="1" t="s">
        <v>121</v>
      </c>
      <c r="J16" s="1" t="n">
        <v>37511</v>
      </c>
      <c r="K16" s="1" t="n">
        <v>0</v>
      </c>
      <c r="M16" s="1" t="s">
        <v>122</v>
      </c>
      <c r="N16" s="1" t="s">
        <v>123</v>
      </c>
      <c r="O16" s="1" t="s">
        <v>124</v>
      </c>
      <c r="Q16" s="1" t="s">
        <v>125</v>
      </c>
      <c r="R16" s="1" t="s">
        <v>70</v>
      </c>
      <c r="S16" s="1" t="s">
        <v>126</v>
      </c>
      <c r="T16" s="6" t="n">
        <v>6011110000000000</v>
      </c>
      <c r="V16" s="1" t="n">
        <v>10019</v>
      </c>
      <c r="W16" s="1" t="n">
        <v>2836</v>
      </c>
      <c r="X16" s="7" t="n">
        <v>0</v>
      </c>
      <c r="Y16" s="7" t="n">
        <v>0.0202106481481481</v>
      </c>
      <c r="Z16" s="1" t="n">
        <v>6.05</v>
      </c>
      <c r="AA16" s="1" t="s">
        <v>76</v>
      </c>
      <c r="AB16" s="7" t="n">
        <v>0</v>
      </c>
      <c r="AC16" s="2" t="n">
        <v>42578</v>
      </c>
      <c r="AD16" s="1" t="n">
        <v>53</v>
      </c>
      <c r="AE16" s="1" t="n">
        <v>9.06</v>
      </c>
      <c r="AF16" s="1" t="s">
        <v>129</v>
      </c>
      <c r="AG16" s="1" t="s">
        <v>78</v>
      </c>
      <c r="AH16" s="1" t="s">
        <v>112</v>
      </c>
      <c r="AI16" s="1" t="s">
        <v>86</v>
      </c>
      <c r="AJ16" s="1" t="s">
        <v>113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1</v>
      </c>
      <c r="AV16" s="1" t="n">
        <v>0</v>
      </c>
      <c r="AW16" s="1" t="n">
        <v>1</v>
      </c>
      <c r="AX16" s="1" t="n">
        <v>1</v>
      </c>
      <c r="AY16" s="1" t="n">
        <v>0</v>
      </c>
      <c r="AZ16" s="1" t="n">
        <v>0</v>
      </c>
      <c r="BA16" s="1" t="n">
        <v>1</v>
      </c>
      <c r="BB16" s="1" t="n">
        <v>0</v>
      </c>
      <c r="BC16" s="1" t="n">
        <v>0</v>
      </c>
      <c r="BD16" s="1" t="n">
        <v>0</v>
      </c>
      <c r="BE16" s="1" t="n">
        <v>1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</row>
    <row r="17" customFormat="false" ht="16.15" hidden="false" customHeight="false" outlineLevel="0" collapsed="false">
      <c r="A17" s="0" t="str">
        <f aca="false">_xlfn.CONCAT(E17, " ", D17)</f>
        <v>Mr. Anthony Carr </v>
      </c>
      <c r="B17" s="0" t="str">
        <f aca="false">LEFT(D17, SEARCH(" ",D17,1))</f>
        <v>Anthony </v>
      </c>
      <c r="C17" s="5" t="str">
        <f aca="false">RIGHT(D17,LEN(D17)-SEARCH(" ",D17,1))</f>
        <v>Carr </v>
      </c>
      <c r="D17" s="1" t="s">
        <v>118</v>
      </c>
      <c r="E17" s="1" t="s">
        <v>66</v>
      </c>
      <c r="F17" s="1" t="s">
        <v>119</v>
      </c>
      <c r="G17" s="1" t="s">
        <v>120</v>
      </c>
      <c r="I17" s="1" t="s">
        <v>121</v>
      </c>
      <c r="J17" s="1" t="n">
        <v>37511</v>
      </c>
      <c r="K17" s="1" t="n">
        <v>0</v>
      </c>
      <c r="M17" s="1" t="s">
        <v>122</v>
      </c>
      <c r="N17" s="1" t="s">
        <v>123</v>
      </c>
      <c r="O17" s="1" t="s">
        <v>124</v>
      </c>
      <c r="Q17" s="1" t="s">
        <v>125</v>
      </c>
      <c r="R17" s="1" t="s">
        <v>70</v>
      </c>
      <c r="S17" s="1" t="s">
        <v>126</v>
      </c>
      <c r="T17" s="6" t="n">
        <v>6011940000000000</v>
      </c>
      <c r="V17" s="1" t="n">
        <v>10019</v>
      </c>
      <c r="W17" s="1" t="n">
        <v>5456</v>
      </c>
      <c r="X17" s="7" t="n">
        <v>0</v>
      </c>
      <c r="Y17" s="7" t="n">
        <v>0.0352418981481482</v>
      </c>
      <c r="Z17" s="1" t="n">
        <v>23.37</v>
      </c>
      <c r="AA17" s="1" t="s">
        <v>130</v>
      </c>
      <c r="AB17" s="7" t="n">
        <v>0</v>
      </c>
      <c r="AC17" s="2" t="n">
        <v>42646</v>
      </c>
      <c r="AD17" s="1" t="n">
        <v>53</v>
      </c>
      <c r="AE17" s="1" t="n">
        <v>36.5</v>
      </c>
      <c r="AF17" s="1" t="s">
        <v>77</v>
      </c>
      <c r="AG17" s="1" t="s">
        <v>78</v>
      </c>
      <c r="AH17" s="1" t="s">
        <v>112</v>
      </c>
      <c r="AI17" s="1" t="s">
        <v>86</v>
      </c>
      <c r="AJ17" s="1" t="s">
        <v>113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1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</row>
    <row r="18" customFormat="false" ht="16.15" hidden="false" customHeight="false" outlineLevel="0" collapsed="false">
      <c r="A18" s="0" t="str">
        <f aca="false">_xlfn.CONCAT(E18, " ", D18)</f>
        <v>Mr. Melvin Schmitz </v>
      </c>
      <c r="B18" s="0" t="str">
        <f aca="false">LEFT(D18, SEARCH(" ",D18,1))</f>
        <v>Melvin </v>
      </c>
      <c r="C18" s="5" t="str">
        <f aca="false">RIGHT(D18,LEN(D18)-SEARCH(" ",D18,1))</f>
        <v>Schmitz </v>
      </c>
      <c r="D18" s="1" t="s">
        <v>131</v>
      </c>
      <c r="E18" s="1" t="s">
        <v>66</v>
      </c>
      <c r="F18" s="1" t="s">
        <v>132</v>
      </c>
      <c r="G18" s="1" t="s">
        <v>133</v>
      </c>
      <c r="I18" s="1" t="s">
        <v>121</v>
      </c>
      <c r="J18" s="1" t="n">
        <v>3569</v>
      </c>
      <c r="K18" s="1" t="n">
        <v>0</v>
      </c>
      <c r="M18" s="1" t="s">
        <v>134</v>
      </c>
      <c r="N18" s="1" t="s">
        <v>135</v>
      </c>
      <c r="O18" s="1" t="s">
        <v>96</v>
      </c>
      <c r="Q18" s="1" t="s">
        <v>87</v>
      </c>
      <c r="R18" s="1" t="s">
        <v>70</v>
      </c>
      <c r="S18" s="1" t="s">
        <v>136</v>
      </c>
      <c r="T18" s="6" t="n">
        <v>4172780000000000</v>
      </c>
      <c r="V18" s="1" t="n">
        <v>10027</v>
      </c>
      <c r="W18" s="1" t="n">
        <v>139</v>
      </c>
      <c r="X18" s="7" t="n">
        <v>0</v>
      </c>
      <c r="Y18" s="7" t="n">
        <v>0.0234351851851852</v>
      </c>
      <c r="Z18" s="1" t="n">
        <v>24.08</v>
      </c>
      <c r="AA18" s="1" t="s">
        <v>137</v>
      </c>
      <c r="AB18" s="7" t="n">
        <v>0</v>
      </c>
      <c r="AC18" s="2" t="n">
        <v>42724</v>
      </c>
      <c r="AD18" s="1" t="n">
        <v>32</v>
      </c>
      <c r="AE18" s="1" t="n">
        <v>10.11</v>
      </c>
      <c r="AF18" s="1" t="s">
        <v>77</v>
      </c>
      <c r="AG18" s="1" t="s">
        <v>78</v>
      </c>
      <c r="AH18" s="1" t="s">
        <v>112</v>
      </c>
      <c r="AI18" s="1" t="s">
        <v>86</v>
      </c>
      <c r="AJ18" s="1" t="s">
        <v>81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1</v>
      </c>
      <c r="AV18" s="1" t="n">
        <v>0</v>
      </c>
      <c r="AW18" s="1" t="n">
        <v>1</v>
      </c>
      <c r="AX18" s="1" t="n">
        <v>1</v>
      </c>
      <c r="AY18" s="1" t="n">
        <v>0</v>
      </c>
      <c r="AZ18" s="1" t="n">
        <v>0</v>
      </c>
      <c r="BA18" s="1" t="n">
        <v>1</v>
      </c>
      <c r="BB18" s="1" t="n">
        <v>0</v>
      </c>
      <c r="BC18" s="1" t="n">
        <v>0</v>
      </c>
      <c r="BD18" s="1" t="n">
        <v>0</v>
      </c>
      <c r="BE18" s="1" t="n">
        <v>1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</row>
    <row r="19" customFormat="false" ht="16.15" hidden="false" customHeight="false" outlineLevel="0" collapsed="false">
      <c r="A19" s="0" t="str">
        <f aca="false">_xlfn.CONCAT(E19, " ", D19)</f>
        <v>Mr. Melvin Schmitz </v>
      </c>
      <c r="B19" s="0" t="str">
        <f aca="false">LEFT(D19, SEARCH(" ",D19,1))</f>
        <v>Melvin </v>
      </c>
      <c r="C19" s="5" t="str">
        <f aca="false">RIGHT(D19,LEN(D19)-SEARCH(" ",D19,1))</f>
        <v>Schmitz </v>
      </c>
      <c r="D19" s="1" t="s">
        <v>131</v>
      </c>
      <c r="E19" s="1" t="s">
        <v>66</v>
      </c>
      <c r="F19" s="1" t="s">
        <v>132</v>
      </c>
      <c r="G19" s="1" t="s">
        <v>133</v>
      </c>
      <c r="I19" s="1" t="s">
        <v>121</v>
      </c>
      <c r="J19" s="1" t="n">
        <v>3569</v>
      </c>
      <c r="K19" s="1" t="n">
        <v>0</v>
      </c>
      <c r="M19" s="1" t="s">
        <v>134</v>
      </c>
      <c r="N19" s="1" t="s">
        <v>135</v>
      </c>
      <c r="O19" s="1" t="s">
        <v>96</v>
      </c>
      <c r="Q19" s="1" t="s">
        <v>87</v>
      </c>
      <c r="R19" s="1" t="s">
        <v>70</v>
      </c>
      <c r="S19" s="1" t="s">
        <v>136</v>
      </c>
      <c r="T19" s="6" t="n">
        <v>4235920000000000</v>
      </c>
      <c r="V19" s="1" t="n">
        <v>10027</v>
      </c>
      <c r="W19" s="1" t="n">
        <v>831</v>
      </c>
      <c r="X19" s="7" t="n">
        <v>0</v>
      </c>
      <c r="Y19" s="7" t="n">
        <v>0.0236053240740741</v>
      </c>
      <c r="Z19" s="1" t="n">
        <v>7.02</v>
      </c>
      <c r="AA19" s="1" t="s">
        <v>138</v>
      </c>
      <c r="AB19" s="7" t="n">
        <v>0</v>
      </c>
      <c r="AC19" s="2" t="n">
        <v>42699</v>
      </c>
      <c r="AD19" s="1" t="n">
        <v>32</v>
      </c>
      <c r="AE19" s="1" t="n">
        <v>42.16</v>
      </c>
      <c r="AF19" s="1" t="s">
        <v>115</v>
      </c>
      <c r="AG19" s="1" t="s">
        <v>78</v>
      </c>
      <c r="AH19" s="1" t="s">
        <v>112</v>
      </c>
      <c r="AI19" s="1" t="s">
        <v>86</v>
      </c>
      <c r="AJ19" s="1" t="s">
        <v>81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1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</row>
    <row r="20" customFormat="false" ht="16.15" hidden="false" customHeight="false" outlineLevel="0" collapsed="false">
      <c r="A20" s="0" t="str">
        <f aca="false">_xlfn.CONCAT(E20, " ", D20)</f>
        <v>Mr. Melvin Schmitz </v>
      </c>
      <c r="B20" s="0" t="str">
        <f aca="false">LEFT(D20, SEARCH(" ",D20,1))</f>
        <v>Melvin </v>
      </c>
      <c r="C20" s="5" t="str">
        <f aca="false">RIGHT(D20,LEN(D20)-SEARCH(" ",D20,1))</f>
        <v>Schmitz </v>
      </c>
      <c r="D20" s="1" t="s">
        <v>131</v>
      </c>
      <c r="E20" s="1" t="s">
        <v>66</v>
      </c>
      <c r="F20" s="1" t="s">
        <v>132</v>
      </c>
      <c r="G20" s="1" t="s">
        <v>133</v>
      </c>
      <c r="I20" s="1" t="s">
        <v>121</v>
      </c>
      <c r="J20" s="1" t="n">
        <v>3569</v>
      </c>
      <c r="K20" s="1" t="n">
        <v>0</v>
      </c>
      <c r="M20" s="1" t="s">
        <v>134</v>
      </c>
      <c r="N20" s="1" t="s">
        <v>135</v>
      </c>
      <c r="O20" s="1" t="s">
        <v>96</v>
      </c>
      <c r="Q20" s="1" t="s">
        <v>87</v>
      </c>
      <c r="R20" s="1" t="s">
        <v>70</v>
      </c>
      <c r="S20" s="1" t="s">
        <v>136</v>
      </c>
      <c r="T20" s="6" t="n">
        <v>4988190000000000</v>
      </c>
      <c r="V20" s="1" t="n">
        <v>10027</v>
      </c>
      <c r="W20" s="1" t="n">
        <v>6961</v>
      </c>
      <c r="X20" s="7" t="n">
        <v>0</v>
      </c>
      <c r="Y20" s="7" t="n">
        <v>0.0202106481481481</v>
      </c>
      <c r="Z20" s="1" t="n">
        <v>11.45</v>
      </c>
      <c r="AA20" s="1" t="s">
        <v>139</v>
      </c>
      <c r="AB20" s="7" t="n">
        <v>0</v>
      </c>
      <c r="AC20" s="2" t="n">
        <v>42574</v>
      </c>
      <c r="AD20" s="1" t="n">
        <v>32</v>
      </c>
      <c r="AE20" s="1" t="n">
        <v>48.35</v>
      </c>
      <c r="AF20" s="1" t="s">
        <v>83</v>
      </c>
      <c r="AG20" s="1" t="s">
        <v>78</v>
      </c>
      <c r="AH20" s="1" t="s">
        <v>112</v>
      </c>
      <c r="AI20" s="1" t="s">
        <v>86</v>
      </c>
      <c r="AJ20" s="1" t="s">
        <v>81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1</v>
      </c>
      <c r="AV20" s="1" t="n">
        <v>0</v>
      </c>
      <c r="AW20" s="1" t="n">
        <v>1</v>
      </c>
      <c r="AX20" s="1" t="n">
        <v>0</v>
      </c>
      <c r="AY20" s="1" t="n">
        <v>0</v>
      </c>
      <c r="AZ20" s="1" t="n">
        <v>0</v>
      </c>
      <c r="BA20" s="1" t="n">
        <v>1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</row>
    <row r="21" customFormat="false" ht="16.15" hidden="false" customHeight="false" outlineLevel="0" collapsed="false">
      <c r="A21" s="0" t="str">
        <f aca="false">_xlfn.CONCAT(E21, " ", D21)</f>
        <v>Mr. Melvin Schmitz </v>
      </c>
      <c r="B21" s="0" t="str">
        <f aca="false">LEFT(D21, SEARCH(" ",D21,1))</f>
        <v>Melvin </v>
      </c>
      <c r="C21" s="5" t="str">
        <f aca="false">RIGHT(D21,LEN(D21)-SEARCH(" ",D21,1))</f>
        <v>Schmitz </v>
      </c>
      <c r="D21" s="1" t="s">
        <v>131</v>
      </c>
      <c r="E21" s="1" t="s">
        <v>66</v>
      </c>
      <c r="F21" s="1" t="s">
        <v>132</v>
      </c>
      <c r="G21" s="1" t="s">
        <v>133</v>
      </c>
      <c r="I21" s="1" t="s">
        <v>121</v>
      </c>
      <c r="J21" s="1" t="n">
        <v>3569</v>
      </c>
      <c r="K21" s="1" t="n">
        <v>0</v>
      </c>
      <c r="M21" s="1" t="s">
        <v>134</v>
      </c>
      <c r="N21" s="1" t="s">
        <v>135</v>
      </c>
      <c r="O21" s="1" t="s">
        <v>96</v>
      </c>
      <c r="Q21" s="1" t="s">
        <v>87</v>
      </c>
      <c r="R21" s="1" t="s">
        <v>70</v>
      </c>
      <c r="S21" s="1" t="s">
        <v>136</v>
      </c>
      <c r="T21" s="6" t="n">
        <v>4644860000000000</v>
      </c>
      <c r="V21" s="1" t="n">
        <v>10027</v>
      </c>
      <c r="W21" s="1" t="n">
        <v>8622</v>
      </c>
      <c r="X21" s="7" t="n">
        <v>0</v>
      </c>
      <c r="Y21" s="7" t="n">
        <v>0.00531712962962963</v>
      </c>
      <c r="Z21" s="1" t="n">
        <v>9.51</v>
      </c>
      <c r="AA21" s="1" t="s">
        <v>140</v>
      </c>
      <c r="AB21" s="7" t="n">
        <v>0</v>
      </c>
      <c r="AC21" s="2" t="n">
        <v>42688</v>
      </c>
      <c r="AD21" s="1" t="n">
        <v>32</v>
      </c>
      <c r="AE21" s="1" t="n">
        <v>5.1</v>
      </c>
      <c r="AF21" s="1" t="s">
        <v>129</v>
      </c>
      <c r="AG21" s="1" t="s">
        <v>78</v>
      </c>
      <c r="AH21" s="1" t="s">
        <v>112</v>
      </c>
      <c r="AI21" s="1" t="s">
        <v>86</v>
      </c>
      <c r="AJ21" s="1" t="s">
        <v>81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1</v>
      </c>
      <c r="AV21" s="1" t="n">
        <v>0</v>
      </c>
      <c r="AW21" s="1" t="n">
        <v>1</v>
      </c>
      <c r="AX21" s="1" t="n">
        <v>0</v>
      </c>
      <c r="AY21" s="1" t="n">
        <v>0</v>
      </c>
      <c r="AZ21" s="1" t="n">
        <v>0</v>
      </c>
      <c r="BA21" s="1" t="n">
        <v>1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</row>
    <row r="22" customFormat="false" ht="16.15" hidden="false" customHeight="false" outlineLevel="0" collapsed="false">
      <c r="A22" s="0" t="str">
        <f aca="false">_xlfn.CONCAT(E22, " ", D22)</f>
        <v>Mr. John Hoffman </v>
      </c>
      <c r="B22" s="0" t="str">
        <f aca="false">LEFT(D22, SEARCH(" ",D22,1))</f>
        <v>John </v>
      </c>
      <c r="C22" s="5" t="str">
        <f aca="false">RIGHT(D22,LEN(D22)-SEARCH(" ",D22,1))</f>
        <v>Hoffman </v>
      </c>
      <c r="D22" s="1" t="s">
        <v>141</v>
      </c>
      <c r="E22" s="1" t="s">
        <v>66</v>
      </c>
      <c r="F22" s="1" t="s">
        <v>142</v>
      </c>
      <c r="G22" s="1" t="s">
        <v>143</v>
      </c>
      <c r="H22" s="1" t="s">
        <v>144</v>
      </c>
      <c r="I22" s="1" t="s">
        <v>145</v>
      </c>
      <c r="J22" s="1" t="n">
        <v>44311</v>
      </c>
      <c r="K22" s="1" t="n">
        <v>0</v>
      </c>
      <c r="M22" s="1" t="s">
        <v>146</v>
      </c>
      <c r="N22" s="1" t="s">
        <v>147</v>
      </c>
      <c r="O22" s="1" t="s">
        <v>148</v>
      </c>
      <c r="Q22" s="1" t="s">
        <v>149</v>
      </c>
      <c r="R22" s="1" t="s">
        <v>70</v>
      </c>
      <c r="S22" s="1" t="s">
        <v>150</v>
      </c>
      <c r="T22" s="6" t="n">
        <v>377308000000000</v>
      </c>
      <c r="V22" s="1" t="n">
        <v>10031</v>
      </c>
      <c r="W22" s="1" t="n">
        <v>1369</v>
      </c>
      <c r="X22" s="7" t="n">
        <v>0</v>
      </c>
      <c r="Y22" s="7" t="n">
        <v>0.0228101851851852</v>
      </c>
      <c r="Z22" s="1" t="n">
        <v>21.97</v>
      </c>
      <c r="AA22" s="1" t="s">
        <v>151</v>
      </c>
      <c r="AB22" s="7" t="n">
        <v>0</v>
      </c>
      <c r="AC22" s="2" t="n">
        <v>42384</v>
      </c>
      <c r="AD22" s="1" t="n">
        <v>46</v>
      </c>
      <c r="AE22" s="1" t="n">
        <v>24.66</v>
      </c>
      <c r="AF22" s="1" t="s">
        <v>77</v>
      </c>
      <c r="AG22" s="1" t="s">
        <v>78</v>
      </c>
      <c r="AH22" s="1" t="s">
        <v>112</v>
      </c>
      <c r="AI22" s="1" t="s">
        <v>86</v>
      </c>
      <c r="AJ22" s="1" t="s">
        <v>152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1</v>
      </c>
      <c r="AV22" s="1" t="n">
        <v>0</v>
      </c>
      <c r="AW22" s="1" t="n">
        <v>1</v>
      </c>
      <c r="AX22" s="1" t="n">
        <v>1</v>
      </c>
      <c r="AY22" s="1" t="n">
        <v>0</v>
      </c>
      <c r="AZ22" s="1" t="n">
        <v>0</v>
      </c>
      <c r="BA22" s="1" t="n">
        <v>1</v>
      </c>
      <c r="BB22" s="1" t="n">
        <v>0</v>
      </c>
      <c r="BC22" s="1" t="n">
        <v>0</v>
      </c>
      <c r="BD22" s="1" t="n">
        <v>0</v>
      </c>
      <c r="BE22" s="1" t="n">
        <v>1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</row>
    <row r="23" customFormat="false" ht="16.15" hidden="false" customHeight="false" outlineLevel="0" collapsed="false">
      <c r="A23" s="0" t="str">
        <f aca="false">_xlfn.CONCAT(E23, " ", D23)</f>
        <v>Mrs. Muriel Exley </v>
      </c>
      <c r="B23" s="0" t="str">
        <f aca="false">LEFT(D23, SEARCH(" ",D23,1))</f>
        <v>Muriel </v>
      </c>
      <c r="C23" s="5" t="str">
        <f aca="false">RIGHT(D23,LEN(D23)-SEARCH(" ",D23,1))</f>
        <v>Exley </v>
      </c>
      <c r="D23" s="1" t="s">
        <v>153</v>
      </c>
      <c r="E23" s="1" t="s">
        <v>154</v>
      </c>
      <c r="F23" s="1" t="s">
        <v>155</v>
      </c>
      <c r="G23" s="1" t="s">
        <v>156</v>
      </c>
      <c r="H23" s="1" t="s">
        <v>157</v>
      </c>
      <c r="I23" s="1" t="s">
        <v>70</v>
      </c>
      <c r="J23" s="1" t="n">
        <v>38030</v>
      </c>
      <c r="K23" s="1" t="n">
        <v>0</v>
      </c>
      <c r="M23" s="1" t="s">
        <v>158</v>
      </c>
      <c r="N23" s="1" t="s">
        <v>159</v>
      </c>
      <c r="O23" s="1" t="s">
        <v>124</v>
      </c>
      <c r="Q23" s="1" t="s">
        <v>160</v>
      </c>
      <c r="R23" s="1" t="s">
        <v>110</v>
      </c>
      <c r="S23" s="6" t="n">
        <v>267000000000000</v>
      </c>
      <c r="T23" s="6" t="n">
        <v>6012000000000000</v>
      </c>
      <c r="V23" s="1" t="n">
        <v>10035</v>
      </c>
      <c r="W23" s="1" t="n">
        <v>5328</v>
      </c>
      <c r="X23" s="7" t="n">
        <v>0</v>
      </c>
      <c r="Y23" s="7" t="n">
        <v>0.0227453703703704</v>
      </c>
      <c r="Z23" s="1" t="n">
        <v>33.85</v>
      </c>
      <c r="AA23" s="1" t="s">
        <v>161</v>
      </c>
      <c r="AB23" s="7" t="n">
        <v>0</v>
      </c>
      <c r="AC23" s="2" t="n">
        <v>42566</v>
      </c>
      <c r="AD23" s="1" t="n">
        <v>46</v>
      </c>
      <c r="AE23" s="1" t="n">
        <v>49.16</v>
      </c>
      <c r="AF23" s="1" t="s">
        <v>77</v>
      </c>
      <c r="AG23" s="1" t="s">
        <v>78</v>
      </c>
      <c r="AH23" s="1" t="s">
        <v>112</v>
      </c>
      <c r="AI23" s="1" t="s">
        <v>86</v>
      </c>
      <c r="AJ23" s="1" t="s">
        <v>152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1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</row>
    <row r="24" customFormat="false" ht="16.15" hidden="false" customHeight="false" outlineLevel="0" collapsed="false">
      <c r="A24" s="0" t="str">
        <f aca="false">_xlfn.CONCAT(E24, " ", D24)</f>
        <v>Mr. James Moyle </v>
      </c>
      <c r="B24" s="0" t="str">
        <f aca="false">LEFT(D24, SEARCH(" ",D24,1))</f>
        <v>James </v>
      </c>
      <c r="C24" s="5" t="str">
        <f aca="false">RIGHT(D24,LEN(D24)-SEARCH(" ",D24,1))</f>
        <v>Moyle </v>
      </c>
      <c r="D24" s="1" t="s">
        <v>162</v>
      </c>
      <c r="E24" s="1" t="s">
        <v>66</v>
      </c>
      <c r="F24" s="1" t="s">
        <v>163</v>
      </c>
      <c r="G24" s="1" t="s">
        <v>164</v>
      </c>
      <c r="H24" s="1" t="s">
        <v>165</v>
      </c>
      <c r="I24" s="1" t="s">
        <v>145</v>
      </c>
      <c r="J24" s="1" t="n">
        <v>12204</v>
      </c>
      <c r="K24" s="1" t="n">
        <v>0</v>
      </c>
      <c r="M24" s="1" t="s">
        <v>166</v>
      </c>
      <c r="N24" s="1" t="s">
        <v>167</v>
      </c>
      <c r="O24" s="1" t="s">
        <v>73</v>
      </c>
      <c r="Q24" s="1" t="s">
        <v>151</v>
      </c>
      <c r="R24" s="1" t="s">
        <v>70</v>
      </c>
      <c r="S24" s="1" t="s">
        <v>168</v>
      </c>
      <c r="T24" s="6" t="n">
        <v>5155200000000000</v>
      </c>
      <c r="V24" s="1" t="n">
        <v>10039</v>
      </c>
      <c r="W24" s="1" t="n">
        <v>421</v>
      </c>
      <c r="X24" s="7" t="n">
        <v>0</v>
      </c>
      <c r="Y24" s="7" t="n">
        <v>0.0234351851851852</v>
      </c>
      <c r="Z24" s="1" t="n">
        <v>22.77</v>
      </c>
      <c r="AA24" s="1" t="s">
        <v>169</v>
      </c>
      <c r="AB24" s="7" t="n">
        <v>0</v>
      </c>
      <c r="AC24" s="2" t="n">
        <v>42724</v>
      </c>
      <c r="AD24" s="1" t="n">
        <v>72</v>
      </c>
      <c r="AE24" s="1" t="n">
        <v>224.71</v>
      </c>
      <c r="AF24" s="1" t="s">
        <v>77</v>
      </c>
      <c r="AG24" s="1" t="s">
        <v>85</v>
      </c>
      <c r="AH24" s="1" t="s">
        <v>79</v>
      </c>
      <c r="AI24" s="1" t="s">
        <v>102</v>
      </c>
      <c r="AJ24" s="1" t="s">
        <v>113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1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1</v>
      </c>
      <c r="BB24" s="1" t="n">
        <v>1</v>
      </c>
      <c r="BC24" s="1" t="n">
        <v>1</v>
      </c>
      <c r="BD24" s="1" t="n">
        <v>0</v>
      </c>
      <c r="BE24" s="1" t="n">
        <v>1</v>
      </c>
      <c r="BF24" s="1" t="n">
        <v>1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1</v>
      </c>
      <c r="BM24" s="1" t="n">
        <v>0</v>
      </c>
    </row>
    <row r="25" customFormat="false" ht="16.15" hidden="false" customHeight="false" outlineLevel="0" collapsed="false">
      <c r="A25" s="0" t="str">
        <f aca="false">_xlfn.CONCAT(E25, " ", D25)</f>
        <v>Mr. James Moyle </v>
      </c>
      <c r="B25" s="0" t="str">
        <f aca="false">LEFT(D25, SEARCH(" ",D25,1))</f>
        <v>James </v>
      </c>
      <c r="C25" s="5" t="str">
        <f aca="false">RIGHT(D25,LEN(D25)-SEARCH(" ",D25,1))</f>
        <v>Moyle </v>
      </c>
      <c r="D25" s="1" t="s">
        <v>162</v>
      </c>
      <c r="E25" s="1" t="s">
        <v>66</v>
      </c>
      <c r="F25" s="1" t="s">
        <v>163</v>
      </c>
      <c r="G25" s="1" t="s">
        <v>164</v>
      </c>
      <c r="H25" s="1" t="s">
        <v>165</v>
      </c>
      <c r="I25" s="1" t="s">
        <v>145</v>
      </c>
      <c r="J25" s="1" t="n">
        <v>12204</v>
      </c>
      <c r="K25" s="1" t="n">
        <v>0</v>
      </c>
      <c r="M25" s="1" t="s">
        <v>166</v>
      </c>
      <c r="N25" s="1" t="s">
        <v>167</v>
      </c>
      <c r="O25" s="1" t="s">
        <v>73</v>
      </c>
      <c r="Q25" s="1" t="s">
        <v>151</v>
      </c>
      <c r="R25" s="1" t="s">
        <v>70</v>
      </c>
      <c r="S25" s="1" t="s">
        <v>168</v>
      </c>
      <c r="T25" s="6" t="n">
        <v>5179760000000000</v>
      </c>
      <c r="V25" s="1" t="n">
        <v>10039</v>
      </c>
      <c r="W25" s="1" t="n">
        <v>5317</v>
      </c>
      <c r="X25" s="7" t="n">
        <v>0</v>
      </c>
      <c r="Y25" s="7" t="n">
        <v>0.0238032407407407</v>
      </c>
      <c r="Z25" s="1" t="n">
        <v>5.85</v>
      </c>
      <c r="AA25" s="1" t="s">
        <v>170</v>
      </c>
      <c r="AB25" s="7" t="n">
        <v>0</v>
      </c>
      <c r="AC25" s="2" t="n">
        <v>42723</v>
      </c>
      <c r="AD25" s="1" t="n">
        <v>72</v>
      </c>
      <c r="AE25" s="1" t="n">
        <v>235.6</v>
      </c>
      <c r="AF25" s="1" t="s">
        <v>77</v>
      </c>
      <c r="AG25" s="1" t="s">
        <v>85</v>
      </c>
      <c r="AH25" s="1" t="s">
        <v>79</v>
      </c>
      <c r="AI25" s="1" t="s">
        <v>102</v>
      </c>
      <c r="AJ25" s="1" t="s">
        <v>113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1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1</v>
      </c>
      <c r="BA25" s="1" t="n">
        <v>0</v>
      </c>
      <c r="BB25" s="1" t="n">
        <v>1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1</v>
      </c>
      <c r="BK25" s="1" t="n">
        <v>0</v>
      </c>
      <c r="BL25" s="1" t="n">
        <v>0</v>
      </c>
      <c r="BM25" s="1" t="n">
        <v>0</v>
      </c>
    </row>
    <row r="26" customFormat="false" ht="16.15" hidden="false" customHeight="false" outlineLevel="0" collapsed="false">
      <c r="A26" s="0" t="str">
        <f aca="false">_xlfn.CONCAT(E26, " ", D26)</f>
        <v>Mr. James Moyle </v>
      </c>
      <c r="B26" s="0" t="str">
        <f aca="false">LEFT(D26, SEARCH(" ",D26,1))</f>
        <v>James </v>
      </c>
      <c r="C26" s="5" t="str">
        <f aca="false">RIGHT(D26,LEN(D26)-SEARCH(" ",D26,1))</f>
        <v>Moyle </v>
      </c>
      <c r="D26" s="1" t="s">
        <v>162</v>
      </c>
      <c r="E26" s="1" t="s">
        <v>66</v>
      </c>
      <c r="F26" s="1" t="s">
        <v>163</v>
      </c>
      <c r="G26" s="1" t="s">
        <v>164</v>
      </c>
      <c r="H26" s="1" t="s">
        <v>165</v>
      </c>
      <c r="I26" s="1" t="s">
        <v>145</v>
      </c>
      <c r="J26" s="1" t="n">
        <v>12204</v>
      </c>
      <c r="K26" s="1" t="n">
        <v>0</v>
      </c>
      <c r="M26" s="1" t="s">
        <v>166</v>
      </c>
      <c r="N26" s="1" t="s">
        <v>167</v>
      </c>
      <c r="O26" s="1" t="s">
        <v>73</v>
      </c>
      <c r="Q26" s="1" t="s">
        <v>151</v>
      </c>
      <c r="R26" s="1" t="s">
        <v>70</v>
      </c>
      <c r="S26" s="1" t="s">
        <v>168</v>
      </c>
      <c r="T26" s="6" t="n">
        <v>5128950000000000</v>
      </c>
      <c r="V26" s="1" t="n">
        <v>10039</v>
      </c>
      <c r="W26" s="1" t="n">
        <v>5855</v>
      </c>
      <c r="X26" s="7" t="n">
        <v>0</v>
      </c>
      <c r="Y26" s="7" t="n">
        <v>0.0234363425925926</v>
      </c>
      <c r="Z26" s="1" t="n">
        <v>17.2</v>
      </c>
      <c r="AA26" s="1" t="s">
        <v>171</v>
      </c>
      <c r="AB26" s="7" t="n">
        <v>0</v>
      </c>
      <c r="AC26" s="2" t="n">
        <v>42520</v>
      </c>
      <c r="AD26" s="1" t="n">
        <v>72</v>
      </c>
      <c r="AE26" s="1" t="n">
        <v>164.54</v>
      </c>
      <c r="AF26" s="1" t="s">
        <v>77</v>
      </c>
      <c r="AG26" s="1" t="s">
        <v>85</v>
      </c>
      <c r="AH26" s="1" t="s">
        <v>79</v>
      </c>
      <c r="AI26" s="1" t="s">
        <v>102</v>
      </c>
      <c r="AJ26" s="1" t="s">
        <v>113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1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1</v>
      </c>
      <c r="BC26" s="1" t="n">
        <v>1</v>
      </c>
      <c r="BD26" s="1" t="n">
        <v>1</v>
      </c>
      <c r="BE26" s="1" t="n">
        <v>1</v>
      </c>
      <c r="BF26" s="1" t="n">
        <v>1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</row>
    <row r="27" customFormat="false" ht="16.15" hidden="false" customHeight="false" outlineLevel="0" collapsed="false">
      <c r="A27" s="0" t="str">
        <f aca="false">_xlfn.CONCAT(E27, " ", D27)</f>
        <v>Mr. Calvin Shupe </v>
      </c>
      <c r="B27" s="0" t="str">
        <f aca="false">LEFT(D27, SEARCH(" ",D27,1))</f>
        <v>Calvin </v>
      </c>
      <c r="C27" s="5" t="str">
        <f aca="false">RIGHT(D27,LEN(D27)-SEARCH(" ",D27,1))</f>
        <v>Shupe </v>
      </c>
      <c r="D27" s="1" t="s">
        <v>172</v>
      </c>
      <c r="E27" s="1" t="s">
        <v>66</v>
      </c>
      <c r="F27" s="1" t="s">
        <v>173</v>
      </c>
      <c r="G27" s="1" t="s">
        <v>174</v>
      </c>
      <c r="H27" s="1" t="s">
        <v>175</v>
      </c>
      <c r="I27" s="1" t="s">
        <v>70</v>
      </c>
      <c r="J27" s="1" t="n">
        <v>23100</v>
      </c>
      <c r="K27" s="1" t="n">
        <v>0</v>
      </c>
      <c r="M27" s="1" t="s">
        <v>176</v>
      </c>
      <c r="N27" s="1" t="s">
        <v>177</v>
      </c>
      <c r="O27" s="1" t="s">
        <v>96</v>
      </c>
      <c r="Q27" s="1" t="s">
        <v>178</v>
      </c>
      <c r="R27" s="1" t="s">
        <v>70</v>
      </c>
      <c r="S27" s="1" t="s">
        <v>179</v>
      </c>
      <c r="T27" s="6" t="n">
        <v>4308570000000000</v>
      </c>
      <c r="V27" s="1" t="n">
        <v>10047</v>
      </c>
      <c r="W27" s="1" t="n">
        <v>529</v>
      </c>
      <c r="X27" s="7" t="n">
        <v>0</v>
      </c>
      <c r="Y27" s="7" t="n">
        <v>0.0330949074074074</v>
      </c>
      <c r="Z27" s="1" t="n">
        <v>9</v>
      </c>
      <c r="AA27" s="1" t="s">
        <v>180</v>
      </c>
      <c r="AB27" s="7" t="n">
        <v>0</v>
      </c>
      <c r="AC27" s="2" t="n">
        <v>42536</v>
      </c>
      <c r="AD27" s="1" t="n">
        <v>49</v>
      </c>
      <c r="AE27" s="1" t="n">
        <v>45.66</v>
      </c>
      <c r="AF27" s="1" t="s">
        <v>77</v>
      </c>
      <c r="AG27" s="1" t="s">
        <v>78</v>
      </c>
      <c r="AH27" s="1" t="s">
        <v>112</v>
      </c>
      <c r="AI27" s="1" t="s">
        <v>86</v>
      </c>
      <c r="AJ27" s="1" t="s">
        <v>152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1</v>
      </c>
      <c r="AV27" s="1" t="n">
        <v>0</v>
      </c>
      <c r="AW27" s="1" t="n">
        <v>0</v>
      </c>
      <c r="AX27" s="1" t="n">
        <v>1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</row>
    <row r="28" customFormat="false" ht="16.15" hidden="false" customHeight="false" outlineLevel="0" collapsed="false">
      <c r="A28" s="0" t="str">
        <f aca="false">_xlfn.CONCAT(E28, " ", D28)</f>
        <v>Mr. Alfonso Frazier </v>
      </c>
      <c r="B28" s="0" t="str">
        <f aca="false">LEFT(D28, SEARCH(" ",D28,1))</f>
        <v>Alfonso </v>
      </c>
      <c r="C28" s="5" t="str">
        <f aca="false">RIGHT(D28,LEN(D28)-SEARCH(" ",D28,1))</f>
        <v>Frazier </v>
      </c>
      <c r="D28" s="1" t="s">
        <v>181</v>
      </c>
      <c r="E28" s="1" t="s">
        <v>66</v>
      </c>
      <c r="F28" s="1" t="s">
        <v>182</v>
      </c>
      <c r="G28" s="1" t="s">
        <v>183</v>
      </c>
      <c r="H28" s="1" t="s">
        <v>184</v>
      </c>
      <c r="I28" s="1" t="s">
        <v>145</v>
      </c>
      <c r="J28" s="1" t="n">
        <v>87109</v>
      </c>
      <c r="K28" s="1" t="n">
        <v>0</v>
      </c>
      <c r="M28" s="1" t="s">
        <v>185</v>
      </c>
      <c r="N28" s="1" t="s">
        <v>186</v>
      </c>
      <c r="O28" s="1" t="s">
        <v>148</v>
      </c>
      <c r="Q28" s="1" t="s">
        <v>187</v>
      </c>
      <c r="R28" s="1" t="s">
        <v>110</v>
      </c>
      <c r="S28" s="6" t="n">
        <v>176000000000000</v>
      </c>
      <c r="T28" s="6" t="n">
        <v>340583000000000</v>
      </c>
      <c r="V28" s="1" t="n">
        <v>10051</v>
      </c>
      <c r="W28" s="1" t="n">
        <v>1352</v>
      </c>
      <c r="X28" s="7" t="n">
        <v>0</v>
      </c>
      <c r="Y28" s="7" t="n">
        <v>0.0193935185185185</v>
      </c>
      <c r="Z28" s="1" t="n">
        <v>13.33</v>
      </c>
      <c r="AA28" s="1" t="s">
        <v>188</v>
      </c>
      <c r="AB28" s="7" t="n">
        <v>0</v>
      </c>
      <c r="AC28" s="2" t="n">
        <v>42652</v>
      </c>
      <c r="AD28" s="1" t="n">
        <v>47</v>
      </c>
      <c r="AE28" s="1" t="n">
        <v>18.99</v>
      </c>
      <c r="AF28" s="1" t="s">
        <v>77</v>
      </c>
      <c r="AG28" s="1" t="s">
        <v>78</v>
      </c>
      <c r="AH28" s="1" t="s">
        <v>112</v>
      </c>
      <c r="AI28" s="1" t="s">
        <v>86</v>
      </c>
      <c r="AJ28" s="1" t="s">
        <v>152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1</v>
      </c>
      <c r="AV28" s="1" t="n">
        <v>0</v>
      </c>
      <c r="AW28" s="1" t="n">
        <v>1</v>
      </c>
      <c r="AX28" s="1" t="n">
        <v>1</v>
      </c>
      <c r="AY28" s="1" t="n">
        <v>0</v>
      </c>
      <c r="AZ28" s="1" t="n">
        <v>0</v>
      </c>
      <c r="BA28" s="1" t="n">
        <v>1</v>
      </c>
      <c r="BB28" s="1" t="n">
        <v>0</v>
      </c>
      <c r="BC28" s="1" t="n">
        <v>0</v>
      </c>
      <c r="BD28" s="1" t="n">
        <v>0</v>
      </c>
      <c r="BE28" s="1" t="n">
        <v>1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</row>
    <row r="29" customFormat="false" ht="16.15" hidden="false" customHeight="false" outlineLevel="0" collapsed="false">
      <c r="A29" s="0" t="str">
        <f aca="false">_xlfn.CONCAT(E29, " ", D29)</f>
        <v>Mr. Alfonso Frazier </v>
      </c>
      <c r="B29" s="0" t="str">
        <f aca="false">LEFT(D29, SEARCH(" ",D29,1))</f>
        <v>Alfonso </v>
      </c>
      <c r="C29" s="5" t="str">
        <f aca="false">RIGHT(D29,LEN(D29)-SEARCH(" ",D29,1))</f>
        <v>Frazier </v>
      </c>
      <c r="D29" s="1" t="s">
        <v>181</v>
      </c>
      <c r="E29" s="1" t="s">
        <v>66</v>
      </c>
      <c r="F29" s="1" t="s">
        <v>182</v>
      </c>
      <c r="G29" s="1" t="s">
        <v>183</v>
      </c>
      <c r="H29" s="1" t="s">
        <v>184</v>
      </c>
      <c r="I29" s="1" t="s">
        <v>145</v>
      </c>
      <c r="J29" s="1" t="n">
        <v>87109</v>
      </c>
      <c r="K29" s="1" t="n">
        <v>0</v>
      </c>
      <c r="M29" s="1" t="s">
        <v>185</v>
      </c>
      <c r="N29" s="1" t="s">
        <v>186</v>
      </c>
      <c r="O29" s="1" t="s">
        <v>148</v>
      </c>
      <c r="Q29" s="1" t="s">
        <v>187</v>
      </c>
      <c r="R29" s="1" t="s">
        <v>110</v>
      </c>
      <c r="S29" s="6" t="n">
        <v>176000000000000</v>
      </c>
      <c r="T29" s="6" t="n">
        <v>378254000000000</v>
      </c>
      <c r="V29" s="1" t="n">
        <v>10051</v>
      </c>
      <c r="W29" s="1" t="n">
        <v>3079</v>
      </c>
      <c r="X29" s="7" t="n">
        <v>0</v>
      </c>
      <c r="Y29" s="7" t="n">
        <v>0.0137291666666667</v>
      </c>
      <c r="Z29" s="1" t="n">
        <v>7.85</v>
      </c>
      <c r="AA29" s="1" t="s">
        <v>189</v>
      </c>
      <c r="AB29" s="7" t="n">
        <v>0</v>
      </c>
      <c r="AC29" s="2" t="n">
        <v>42441</v>
      </c>
      <c r="AD29" s="1" t="n">
        <v>47</v>
      </c>
      <c r="AE29" s="1" t="n">
        <v>43.14</v>
      </c>
      <c r="AF29" s="1" t="s">
        <v>77</v>
      </c>
      <c r="AG29" s="1" t="s">
        <v>78</v>
      </c>
      <c r="AH29" s="1" t="s">
        <v>112</v>
      </c>
      <c r="AI29" s="1" t="s">
        <v>86</v>
      </c>
      <c r="AJ29" s="1" t="s">
        <v>152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1</v>
      </c>
      <c r="AV29" s="1" t="n">
        <v>0</v>
      </c>
      <c r="AW29" s="1" t="n">
        <v>1</v>
      </c>
      <c r="AX29" s="1" t="n">
        <v>1</v>
      </c>
      <c r="AY29" s="1" t="n">
        <v>0</v>
      </c>
      <c r="AZ29" s="1" t="n">
        <v>0</v>
      </c>
      <c r="BA29" s="1" t="n">
        <v>1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</row>
    <row r="30" customFormat="false" ht="16.15" hidden="false" customHeight="false" outlineLevel="0" collapsed="false">
      <c r="A30" s="0" t="str">
        <f aca="false">_xlfn.CONCAT(E30, " ", D30)</f>
        <v>Mr. Alfonso Frazier </v>
      </c>
      <c r="B30" s="0" t="str">
        <f aca="false">LEFT(D30, SEARCH(" ",D30,1))</f>
        <v>Alfonso </v>
      </c>
      <c r="C30" s="5" t="str">
        <f aca="false">RIGHT(D30,LEN(D30)-SEARCH(" ",D30,1))</f>
        <v>Frazier </v>
      </c>
      <c r="D30" s="1" t="s">
        <v>181</v>
      </c>
      <c r="E30" s="1" t="s">
        <v>66</v>
      </c>
      <c r="F30" s="1" t="s">
        <v>182</v>
      </c>
      <c r="G30" s="1" t="s">
        <v>183</v>
      </c>
      <c r="H30" s="1" t="s">
        <v>184</v>
      </c>
      <c r="I30" s="1" t="s">
        <v>145</v>
      </c>
      <c r="J30" s="1" t="n">
        <v>87109</v>
      </c>
      <c r="K30" s="1" t="n">
        <v>0</v>
      </c>
      <c r="M30" s="1" t="s">
        <v>185</v>
      </c>
      <c r="N30" s="1" t="s">
        <v>186</v>
      </c>
      <c r="O30" s="1" t="s">
        <v>148</v>
      </c>
      <c r="Q30" s="1" t="s">
        <v>187</v>
      </c>
      <c r="R30" s="1" t="s">
        <v>110</v>
      </c>
      <c r="S30" s="6" t="n">
        <v>176000000000000</v>
      </c>
      <c r="T30" s="6" t="n">
        <v>340232000000000</v>
      </c>
      <c r="V30" s="1" t="n">
        <v>10051</v>
      </c>
      <c r="W30" s="1" t="n">
        <v>5296</v>
      </c>
      <c r="X30" s="7" t="n">
        <v>0</v>
      </c>
      <c r="Y30" s="7" t="n">
        <v>0.0307476851851852</v>
      </c>
      <c r="Z30" s="1" t="n">
        <v>48.52</v>
      </c>
      <c r="AA30" s="1" t="s">
        <v>190</v>
      </c>
      <c r="AB30" s="7" t="n">
        <v>0</v>
      </c>
      <c r="AC30" s="2" t="n">
        <v>42724</v>
      </c>
      <c r="AD30" s="1" t="n">
        <v>47</v>
      </c>
      <c r="AE30" s="1" t="n">
        <v>27.45</v>
      </c>
      <c r="AF30" s="1" t="s">
        <v>77</v>
      </c>
      <c r="AG30" s="1" t="s">
        <v>78</v>
      </c>
      <c r="AH30" s="1" t="s">
        <v>112</v>
      </c>
      <c r="AI30" s="1" t="s">
        <v>86</v>
      </c>
      <c r="AJ30" s="1" t="s">
        <v>152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1</v>
      </c>
      <c r="AV30" s="1" t="n">
        <v>0</v>
      </c>
      <c r="AW30" s="1" t="n">
        <v>1</v>
      </c>
      <c r="AX30" s="1" t="n">
        <v>1</v>
      </c>
      <c r="AY30" s="1" t="n">
        <v>0</v>
      </c>
      <c r="AZ30" s="1" t="n">
        <v>0</v>
      </c>
      <c r="BA30" s="1" t="n">
        <v>1</v>
      </c>
      <c r="BB30" s="1" t="n">
        <v>0</v>
      </c>
      <c r="BC30" s="1" t="n">
        <v>0</v>
      </c>
      <c r="BD30" s="1" t="n">
        <v>0</v>
      </c>
      <c r="BE30" s="1" t="n">
        <v>1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</row>
    <row r="31" customFormat="false" ht="16.15" hidden="false" customHeight="false" outlineLevel="0" collapsed="false">
      <c r="A31" s="0" t="str">
        <f aca="false">_xlfn.CONCAT(E31, " ", D31)</f>
        <v>Mr. Alfonso Frazier </v>
      </c>
      <c r="B31" s="0" t="str">
        <f aca="false">LEFT(D31, SEARCH(" ",D31,1))</f>
        <v>Alfonso </v>
      </c>
      <c r="C31" s="5" t="str">
        <f aca="false">RIGHT(D31,LEN(D31)-SEARCH(" ",D31,1))</f>
        <v>Frazier </v>
      </c>
      <c r="D31" s="1" t="s">
        <v>181</v>
      </c>
      <c r="E31" s="1" t="s">
        <v>66</v>
      </c>
      <c r="F31" s="1" t="s">
        <v>182</v>
      </c>
      <c r="G31" s="1" t="s">
        <v>183</v>
      </c>
      <c r="H31" s="1" t="s">
        <v>184</v>
      </c>
      <c r="I31" s="1" t="s">
        <v>145</v>
      </c>
      <c r="J31" s="1" t="n">
        <v>87109</v>
      </c>
      <c r="K31" s="1" t="n">
        <v>0</v>
      </c>
      <c r="M31" s="1" t="s">
        <v>185</v>
      </c>
      <c r="N31" s="1" t="s">
        <v>186</v>
      </c>
      <c r="O31" s="1" t="s">
        <v>148</v>
      </c>
      <c r="Q31" s="1" t="s">
        <v>187</v>
      </c>
      <c r="R31" s="1" t="s">
        <v>110</v>
      </c>
      <c r="S31" s="6" t="n">
        <v>176000000000000</v>
      </c>
      <c r="T31" s="6" t="n">
        <v>345077000000000</v>
      </c>
      <c r="V31" s="1" t="n">
        <v>10051</v>
      </c>
      <c r="W31" s="1" t="n">
        <v>5312</v>
      </c>
      <c r="X31" s="7" t="n">
        <v>0</v>
      </c>
      <c r="Y31" s="7" t="n">
        <v>0.00528240740740741</v>
      </c>
      <c r="Z31" s="1" t="n">
        <v>17.6</v>
      </c>
      <c r="AA31" s="1" t="s">
        <v>191</v>
      </c>
      <c r="AB31" s="7" t="n">
        <v>0</v>
      </c>
      <c r="AC31" s="2" t="n">
        <v>42376</v>
      </c>
      <c r="AD31" s="1" t="n">
        <v>47</v>
      </c>
      <c r="AE31" s="1" t="n">
        <v>27.45</v>
      </c>
      <c r="AF31" s="1" t="s">
        <v>77</v>
      </c>
      <c r="AG31" s="1" t="s">
        <v>78</v>
      </c>
      <c r="AH31" s="1" t="s">
        <v>112</v>
      </c>
      <c r="AI31" s="1" t="s">
        <v>86</v>
      </c>
      <c r="AJ31" s="1" t="s">
        <v>152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1</v>
      </c>
      <c r="AV31" s="1" t="n">
        <v>0</v>
      </c>
      <c r="AW31" s="1" t="n">
        <v>1</v>
      </c>
      <c r="AX31" s="1" t="n">
        <v>1</v>
      </c>
      <c r="AY31" s="1" t="n">
        <v>0</v>
      </c>
      <c r="AZ31" s="1" t="n">
        <v>0</v>
      </c>
      <c r="BA31" s="1" t="n">
        <v>1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</row>
    <row r="32" customFormat="false" ht="16.15" hidden="false" customHeight="false" outlineLevel="0" collapsed="false">
      <c r="A32" s="0" t="str">
        <f aca="false">_xlfn.CONCAT(E32, " ", D32)</f>
        <v>Mr. Alfonso Frazier </v>
      </c>
      <c r="B32" s="0" t="str">
        <f aca="false">LEFT(D32, SEARCH(" ",D32,1))</f>
        <v>Alfonso </v>
      </c>
      <c r="C32" s="5" t="str">
        <f aca="false">RIGHT(D32,LEN(D32)-SEARCH(" ",D32,1))</f>
        <v>Frazier </v>
      </c>
      <c r="D32" s="1" t="s">
        <v>181</v>
      </c>
      <c r="E32" s="1" t="s">
        <v>66</v>
      </c>
      <c r="F32" s="1" t="s">
        <v>182</v>
      </c>
      <c r="G32" s="1" t="s">
        <v>183</v>
      </c>
      <c r="H32" s="1" t="s">
        <v>184</v>
      </c>
      <c r="I32" s="1" t="s">
        <v>145</v>
      </c>
      <c r="J32" s="1" t="n">
        <v>87109</v>
      </c>
      <c r="K32" s="1" t="n">
        <v>0</v>
      </c>
      <c r="M32" s="1" t="s">
        <v>185</v>
      </c>
      <c r="N32" s="1" t="s">
        <v>186</v>
      </c>
      <c r="O32" s="1" t="s">
        <v>148</v>
      </c>
      <c r="Q32" s="1" t="s">
        <v>187</v>
      </c>
      <c r="R32" s="1" t="s">
        <v>110</v>
      </c>
      <c r="S32" s="6" t="n">
        <v>176000000000000</v>
      </c>
      <c r="T32" s="6" t="n">
        <v>377264000000000</v>
      </c>
      <c r="V32" s="1" t="n">
        <v>10051</v>
      </c>
      <c r="W32" s="1" t="n">
        <v>6481</v>
      </c>
      <c r="X32" s="7" t="n">
        <v>0</v>
      </c>
      <c r="Y32" s="7" t="n">
        <v>0.022744212962963</v>
      </c>
      <c r="Z32" s="1" t="n">
        <v>17.87</v>
      </c>
      <c r="AA32" s="1" t="s">
        <v>192</v>
      </c>
      <c r="AB32" s="7" t="n">
        <v>0</v>
      </c>
      <c r="AC32" s="2" t="n">
        <v>42536</v>
      </c>
      <c r="AD32" s="1" t="n">
        <v>47</v>
      </c>
      <c r="AE32" s="1" t="n">
        <v>28.6</v>
      </c>
      <c r="AF32" s="1" t="s">
        <v>115</v>
      </c>
      <c r="AG32" s="1" t="s">
        <v>78</v>
      </c>
      <c r="AH32" s="1" t="s">
        <v>112</v>
      </c>
      <c r="AI32" s="1" t="s">
        <v>86</v>
      </c>
      <c r="AJ32" s="1" t="s">
        <v>152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1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</row>
    <row r="33" customFormat="false" ht="16.15" hidden="false" customHeight="false" outlineLevel="0" collapsed="false">
      <c r="A33" s="0" t="str">
        <f aca="false">_xlfn.CONCAT(E33, " ", D33)</f>
        <v>Mr. Alfonso Frazier </v>
      </c>
      <c r="B33" s="0" t="str">
        <f aca="false">LEFT(D33, SEARCH(" ",D33,1))</f>
        <v>Alfonso </v>
      </c>
      <c r="C33" s="5" t="str">
        <f aca="false">RIGHT(D33,LEN(D33)-SEARCH(" ",D33,1))</f>
        <v>Frazier </v>
      </c>
      <c r="D33" s="1" t="s">
        <v>181</v>
      </c>
      <c r="E33" s="1" t="s">
        <v>66</v>
      </c>
      <c r="F33" s="1" t="s">
        <v>182</v>
      </c>
      <c r="G33" s="1" t="s">
        <v>183</v>
      </c>
      <c r="H33" s="1" t="s">
        <v>184</v>
      </c>
      <c r="I33" s="1" t="s">
        <v>145</v>
      </c>
      <c r="J33" s="1" t="n">
        <v>87109</v>
      </c>
      <c r="K33" s="1" t="n">
        <v>0</v>
      </c>
      <c r="M33" s="1" t="s">
        <v>185</v>
      </c>
      <c r="N33" s="1" t="s">
        <v>186</v>
      </c>
      <c r="O33" s="1" t="s">
        <v>148</v>
      </c>
      <c r="Q33" s="1" t="s">
        <v>187</v>
      </c>
      <c r="R33" s="1" t="s">
        <v>110</v>
      </c>
      <c r="S33" s="6" t="n">
        <v>176000000000000</v>
      </c>
      <c r="T33" s="6" t="n">
        <v>374980000000000</v>
      </c>
      <c r="V33" s="1" t="n">
        <v>10051</v>
      </c>
      <c r="W33" s="1" t="n">
        <v>6487</v>
      </c>
      <c r="X33" s="7" t="n">
        <v>0</v>
      </c>
      <c r="Y33" s="7" t="n">
        <v>0.0304930555555556</v>
      </c>
      <c r="Z33" s="1" t="n">
        <v>17.87</v>
      </c>
      <c r="AA33" s="1" t="s">
        <v>193</v>
      </c>
      <c r="AB33" s="7" t="n">
        <v>0</v>
      </c>
      <c r="AC33" s="2" t="n">
        <v>42716</v>
      </c>
      <c r="AD33" s="1" t="n">
        <v>47</v>
      </c>
      <c r="AE33" s="1" t="n">
        <v>42.24</v>
      </c>
      <c r="AF33" s="1" t="s">
        <v>77</v>
      </c>
      <c r="AG33" s="1" t="s">
        <v>78</v>
      </c>
      <c r="AH33" s="1" t="s">
        <v>112</v>
      </c>
      <c r="AI33" s="1" t="s">
        <v>86</v>
      </c>
      <c r="AJ33" s="1" t="s">
        <v>152</v>
      </c>
      <c r="AK33" s="1" t="n">
        <v>0</v>
      </c>
      <c r="AL33" s="1" t="n">
        <v>1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</row>
    <row r="34" customFormat="false" ht="16.15" hidden="false" customHeight="false" outlineLevel="0" collapsed="false">
      <c r="A34" s="0" t="str">
        <f aca="false">_xlfn.CONCAT(E34, " ", D34)</f>
        <v>Mr. Alfonso Frazier </v>
      </c>
      <c r="B34" s="0" t="str">
        <f aca="false">LEFT(D34, SEARCH(" ",D34,1))</f>
        <v>Alfonso </v>
      </c>
      <c r="C34" s="5" t="str">
        <f aca="false">RIGHT(D34,LEN(D34)-SEARCH(" ",D34,1))</f>
        <v>Frazier </v>
      </c>
      <c r="D34" s="1" t="s">
        <v>181</v>
      </c>
      <c r="E34" s="1" t="s">
        <v>66</v>
      </c>
      <c r="F34" s="1" t="s">
        <v>182</v>
      </c>
      <c r="G34" s="1" t="s">
        <v>183</v>
      </c>
      <c r="H34" s="1" t="s">
        <v>184</v>
      </c>
      <c r="I34" s="1" t="s">
        <v>145</v>
      </c>
      <c r="J34" s="1" t="n">
        <v>87109</v>
      </c>
      <c r="K34" s="1" t="n">
        <v>0</v>
      </c>
      <c r="M34" s="1" t="s">
        <v>185</v>
      </c>
      <c r="N34" s="1" t="s">
        <v>186</v>
      </c>
      <c r="O34" s="1" t="s">
        <v>148</v>
      </c>
      <c r="Q34" s="1" t="s">
        <v>187</v>
      </c>
      <c r="R34" s="1" t="s">
        <v>110</v>
      </c>
      <c r="S34" s="6" t="n">
        <v>176000000000000</v>
      </c>
      <c r="T34" s="6" t="n">
        <v>343230000000000</v>
      </c>
      <c r="V34" s="1" t="n">
        <v>10051</v>
      </c>
      <c r="W34" s="1" t="n">
        <v>7945</v>
      </c>
      <c r="X34" s="7" t="n">
        <v>0</v>
      </c>
      <c r="Y34" s="7" t="n">
        <v>0.0332476851851852</v>
      </c>
      <c r="Z34" s="1" t="n">
        <v>21.97</v>
      </c>
      <c r="AA34" s="1" t="s">
        <v>194</v>
      </c>
      <c r="AB34" s="7" t="n">
        <v>0</v>
      </c>
      <c r="AC34" s="2" t="n">
        <v>42485</v>
      </c>
      <c r="AD34" s="1" t="n">
        <v>47</v>
      </c>
      <c r="AE34" s="1" t="n">
        <v>8.04</v>
      </c>
      <c r="AF34" s="1" t="s">
        <v>129</v>
      </c>
      <c r="AG34" s="1" t="s">
        <v>78</v>
      </c>
      <c r="AH34" s="1" t="s">
        <v>112</v>
      </c>
      <c r="AI34" s="1" t="s">
        <v>86</v>
      </c>
      <c r="AJ34" s="1" t="s">
        <v>152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1</v>
      </c>
      <c r="AV34" s="1" t="n">
        <v>0</v>
      </c>
      <c r="AW34" s="1" t="n">
        <v>0</v>
      </c>
      <c r="AX34" s="1" t="n">
        <v>1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</row>
    <row r="35" customFormat="false" ht="16.15" hidden="false" customHeight="false" outlineLevel="0" collapsed="false">
      <c r="A35" s="0" t="str">
        <f aca="false">_xlfn.CONCAT(E35, " ", D35)</f>
        <v>Mrs. Reda Fullilove </v>
      </c>
      <c r="B35" s="0" t="str">
        <f aca="false">LEFT(D35, SEARCH(" ",D35,1))</f>
        <v>Reda </v>
      </c>
      <c r="C35" s="5" t="str">
        <f aca="false">RIGHT(D35,LEN(D35)-SEARCH(" ",D35,1))</f>
        <v>Fullilove </v>
      </c>
      <c r="D35" s="1" t="s">
        <v>195</v>
      </c>
      <c r="E35" s="1" t="s">
        <v>154</v>
      </c>
      <c r="F35" s="1" t="s">
        <v>196</v>
      </c>
      <c r="G35" s="1" t="s">
        <v>197</v>
      </c>
      <c r="I35" s="1" t="s">
        <v>121</v>
      </c>
      <c r="J35" s="1" t="n">
        <v>3728</v>
      </c>
      <c r="K35" s="1" t="n">
        <v>0</v>
      </c>
      <c r="M35" s="1" t="s">
        <v>198</v>
      </c>
      <c r="N35" s="1" t="s">
        <v>199</v>
      </c>
      <c r="O35" s="1" t="s">
        <v>200</v>
      </c>
      <c r="Q35" s="1" t="s">
        <v>201</v>
      </c>
      <c r="R35" s="1" t="s">
        <v>70</v>
      </c>
      <c r="S35" s="1" t="s">
        <v>202</v>
      </c>
      <c r="T35" s="6" t="n">
        <v>36050000000000</v>
      </c>
      <c r="V35" s="1" t="n">
        <v>10055</v>
      </c>
      <c r="W35" s="1" t="n">
        <v>925</v>
      </c>
      <c r="X35" s="7" t="n">
        <v>0</v>
      </c>
      <c r="Y35" s="7" t="n">
        <v>0.0332476851851852</v>
      </c>
      <c r="Z35" s="1" t="n">
        <v>19.25</v>
      </c>
      <c r="AA35" s="1" t="s">
        <v>203</v>
      </c>
      <c r="AB35" s="7" t="n">
        <v>0</v>
      </c>
      <c r="AC35" s="2" t="n">
        <v>42485</v>
      </c>
      <c r="AD35" s="1" t="n">
        <v>24</v>
      </c>
      <c r="AE35" s="1" t="n">
        <v>32.11</v>
      </c>
      <c r="AF35" s="1" t="s">
        <v>129</v>
      </c>
      <c r="AG35" s="1" t="s">
        <v>78</v>
      </c>
      <c r="AH35" s="1" t="s">
        <v>101</v>
      </c>
      <c r="AI35" s="1" t="s">
        <v>86</v>
      </c>
      <c r="AJ35" s="1" t="s">
        <v>81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1</v>
      </c>
      <c r="AV35" s="1" t="n">
        <v>0</v>
      </c>
      <c r="AW35" s="1" t="n">
        <v>1</v>
      </c>
      <c r="AX35" s="1" t="n">
        <v>1</v>
      </c>
      <c r="AY35" s="1" t="n">
        <v>0</v>
      </c>
      <c r="AZ35" s="1" t="n">
        <v>0</v>
      </c>
      <c r="BA35" s="1" t="n">
        <v>1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</row>
    <row r="36" customFormat="false" ht="16.15" hidden="false" customHeight="false" outlineLevel="0" collapsed="false">
      <c r="A36" s="0" t="str">
        <f aca="false">_xlfn.CONCAT(E36, " ", D36)</f>
        <v>Mrs. Reda Fullilove </v>
      </c>
      <c r="B36" s="0" t="str">
        <f aca="false">LEFT(D36, SEARCH(" ",D36,1))</f>
        <v>Reda </v>
      </c>
      <c r="C36" s="5" t="str">
        <f aca="false">RIGHT(D36,LEN(D36)-SEARCH(" ",D36,1))</f>
        <v>Fullilove </v>
      </c>
      <c r="D36" s="1" t="s">
        <v>195</v>
      </c>
      <c r="E36" s="1" t="s">
        <v>154</v>
      </c>
      <c r="F36" s="1" t="s">
        <v>196</v>
      </c>
      <c r="G36" s="1" t="s">
        <v>197</v>
      </c>
      <c r="I36" s="1" t="s">
        <v>121</v>
      </c>
      <c r="J36" s="1" t="n">
        <v>3728</v>
      </c>
      <c r="K36" s="1" t="n">
        <v>0</v>
      </c>
      <c r="M36" s="1" t="s">
        <v>198</v>
      </c>
      <c r="N36" s="1" t="s">
        <v>199</v>
      </c>
      <c r="O36" s="1" t="s">
        <v>200</v>
      </c>
      <c r="Q36" s="1" t="s">
        <v>201</v>
      </c>
      <c r="R36" s="1" t="s">
        <v>70</v>
      </c>
      <c r="S36" s="1" t="s">
        <v>202</v>
      </c>
      <c r="T36" s="6" t="n">
        <v>36424900000000</v>
      </c>
      <c r="V36" s="1" t="n">
        <v>10055</v>
      </c>
      <c r="W36" s="1" t="n">
        <v>1282</v>
      </c>
      <c r="X36" s="7" t="n">
        <v>0</v>
      </c>
      <c r="Y36" s="7" t="n">
        <v>0.0332476851851852</v>
      </c>
      <c r="Z36" s="1" t="n">
        <v>23.37</v>
      </c>
      <c r="AA36" s="1" t="s">
        <v>203</v>
      </c>
      <c r="AB36" s="7" t="n">
        <v>0</v>
      </c>
      <c r="AC36" s="2" t="n">
        <v>42485</v>
      </c>
      <c r="AD36" s="1" t="n">
        <v>24</v>
      </c>
      <c r="AE36" s="1" t="n">
        <v>223.31</v>
      </c>
      <c r="AF36" s="1" t="s">
        <v>77</v>
      </c>
      <c r="AG36" s="1" t="s">
        <v>78</v>
      </c>
      <c r="AH36" s="1" t="s">
        <v>101</v>
      </c>
      <c r="AI36" s="1" t="s">
        <v>102</v>
      </c>
      <c r="AJ36" s="1" t="s">
        <v>81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1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1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1</v>
      </c>
      <c r="BK36" s="1" t="n">
        <v>0</v>
      </c>
      <c r="BL36" s="1" t="n">
        <v>1</v>
      </c>
      <c r="BM36" s="1" t="n">
        <v>1</v>
      </c>
    </row>
    <row r="37" customFormat="false" ht="16.15" hidden="false" customHeight="false" outlineLevel="0" collapsed="false">
      <c r="A37" s="0" t="str">
        <f aca="false">_xlfn.CONCAT(E37, " ", D37)</f>
        <v>Mrs. Reda Fullilove </v>
      </c>
      <c r="B37" s="0" t="str">
        <f aca="false">LEFT(D37, SEARCH(" ",D37,1))</f>
        <v>Reda </v>
      </c>
      <c r="C37" s="5" t="str">
        <f aca="false">RIGHT(D37,LEN(D37)-SEARCH(" ",D37,1))</f>
        <v>Fullilove </v>
      </c>
      <c r="D37" s="1" t="s">
        <v>195</v>
      </c>
      <c r="E37" s="1" t="s">
        <v>154</v>
      </c>
      <c r="F37" s="1" t="s">
        <v>196</v>
      </c>
      <c r="G37" s="1" t="s">
        <v>197</v>
      </c>
      <c r="I37" s="1" t="s">
        <v>121</v>
      </c>
      <c r="J37" s="1" t="n">
        <v>3728</v>
      </c>
      <c r="K37" s="1" t="n">
        <v>0</v>
      </c>
      <c r="M37" s="1" t="s">
        <v>198</v>
      </c>
      <c r="N37" s="1" t="s">
        <v>199</v>
      </c>
      <c r="O37" s="1" t="s">
        <v>200</v>
      </c>
      <c r="Q37" s="1" t="s">
        <v>201</v>
      </c>
      <c r="R37" s="1" t="s">
        <v>70</v>
      </c>
      <c r="S37" s="1" t="s">
        <v>202</v>
      </c>
      <c r="T37" s="6" t="n">
        <v>36295300000000</v>
      </c>
      <c r="V37" s="1" t="n">
        <v>10055</v>
      </c>
      <c r="W37" s="1" t="n">
        <v>4950</v>
      </c>
      <c r="X37" s="7" t="n">
        <v>0</v>
      </c>
      <c r="Y37" s="7" t="n">
        <v>0.0304930555555556</v>
      </c>
      <c r="Z37" s="1" t="n">
        <v>18.45</v>
      </c>
      <c r="AA37" s="1" t="s">
        <v>204</v>
      </c>
      <c r="AB37" s="7" t="n">
        <v>0</v>
      </c>
      <c r="AC37" s="2" t="n">
        <v>42670</v>
      </c>
      <c r="AD37" s="1" t="n">
        <v>24</v>
      </c>
      <c r="AE37" s="1" t="n">
        <v>129.77</v>
      </c>
      <c r="AF37" s="1" t="s">
        <v>77</v>
      </c>
      <c r="AG37" s="1" t="s">
        <v>78</v>
      </c>
      <c r="AH37" s="1" t="s">
        <v>101</v>
      </c>
      <c r="AI37" s="1" t="s">
        <v>80</v>
      </c>
      <c r="AJ37" s="1" t="s">
        <v>81</v>
      </c>
      <c r="AK37" s="1" t="n">
        <v>1</v>
      </c>
      <c r="AL37" s="1" t="n">
        <v>0</v>
      </c>
      <c r="AM37" s="1" t="n">
        <v>1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1</v>
      </c>
      <c r="BF37" s="1" t="n">
        <v>0</v>
      </c>
      <c r="BG37" s="1" t="n">
        <v>0</v>
      </c>
      <c r="BH37" s="1" t="n">
        <v>0</v>
      </c>
      <c r="BI37" s="1" t="n">
        <v>1</v>
      </c>
      <c r="BJ37" s="1" t="n">
        <v>0</v>
      </c>
      <c r="BK37" s="1" t="n">
        <v>0</v>
      </c>
      <c r="BL37" s="1" t="n">
        <v>0</v>
      </c>
      <c r="BM37" s="1" t="n">
        <v>0</v>
      </c>
    </row>
    <row r="38" customFormat="false" ht="16.15" hidden="false" customHeight="false" outlineLevel="0" collapsed="false">
      <c r="A38" s="0" t="str">
        <f aca="false">_xlfn.CONCAT(E38, " ", D38)</f>
        <v>Mr. Cecil Games </v>
      </c>
      <c r="B38" s="0" t="str">
        <f aca="false">LEFT(D38, SEARCH(" ",D38,1))</f>
        <v>Cecil </v>
      </c>
      <c r="C38" s="5" t="str">
        <f aca="false">RIGHT(D38,LEN(D38)-SEARCH(" ",D38,1))</f>
        <v>Games </v>
      </c>
      <c r="D38" s="1" t="s">
        <v>205</v>
      </c>
      <c r="E38" s="1" t="s">
        <v>66</v>
      </c>
      <c r="F38" s="1" t="s">
        <v>206</v>
      </c>
      <c r="G38" s="1" t="s">
        <v>207</v>
      </c>
      <c r="I38" s="1" t="s">
        <v>121</v>
      </c>
      <c r="J38" s="1" t="n">
        <v>37340</v>
      </c>
      <c r="K38" s="1" t="n">
        <v>0</v>
      </c>
      <c r="M38" s="1" t="s">
        <v>208</v>
      </c>
      <c r="N38" s="1" t="s">
        <v>209</v>
      </c>
      <c r="O38" s="1" t="s">
        <v>96</v>
      </c>
      <c r="Q38" s="1" t="s">
        <v>210</v>
      </c>
      <c r="R38" s="1" t="s">
        <v>110</v>
      </c>
      <c r="S38" s="6" t="n">
        <v>210000000000000</v>
      </c>
      <c r="T38" s="6" t="n">
        <v>4621260000000000</v>
      </c>
      <c r="V38" s="1" t="n">
        <v>10059</v>
      </c>
      <c r="W38" s="1" t="n">
        <v>1985</v>
      </c>
      <c r="X38" s="7" t="n">
        <v>0</v>
      </c>
      <c r="Y38" s="7" t="n">
        <v>0.0177847222222222</v>
      </c>
      <c r="Z38" s="1" t="n">
        <v>21.97</v>
      </c>
      <c r="AA38" s="1" t="s">
        <v>211</v>
      </c>
      <c r="AB38" s="7" t="n">
        <v>0</v>
      </c>
      <c r="AC38" s="2" t="n">
        <v>42459</v>
      </c>
      <c r="AD38" s="1" t="s">
        <v>212</v>
      </c>
      <c r="AE38" s="1" t="n">
        <v>5.91</v>
      </c>
      <c r="AF38" s="1" t="s">
        <v>129</v>
      </c>
      <c r="AG38" s="1" t="s">
        <v>78</v>
      </c>
      <c r="AH38" s="1" t="s">
        <v>101</v>
      </c>
      <c r="AI38" s="1" t="s">
        <v>86</v>
      </c>
      <c r="AJ38" s="1" t="s">
        <v>103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1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</row>
    <row r="39" customFormat="false" ht="16.15" hidden="false" customHeight="false" outlineLevel="0" collapsed="false">
      <c r="A39" s="0" t="str">
        <f aca="false">_xlfn.CONCAT(E39, " ", D39)</f>
        <v>Mr. Cecil Games </v>
      </c>
      <c r="B39" s="0" t="str">
        <f aca="false">LEFT(D39, SEARCH(" ",D39,1))</f>
        <v>Cecil </v>
      </c>
      <c r="C39" s="5" t="str">
        <f aca="false">RIGHT(D39,LEN(D39)-SEARCH(" ",D39,1))</f>
        <v>Games </v>
      </c>
      <c r="D39" s="1" t="s">
        <v>205</v>
      </c>
      <c r="E39" s="1" t="s">
        <v>66</v>
      </c>
      <c r="F39" s="1" t="s">
        <v>206</v>
      </c>
      <c r="G39" s="1" t="s">
        <v>207</v>
      </c>
      <c r="I39" s="1" t="s">
        <v>121</v>
      </c>
      <c r="J39" s="1" t="n">
        <v>37340</v>
      </c>
      <c r="K39" s="1" t="n">
        <v>0</v>
      </c>
      <c r="M39" s="1" t="s">
        <v>208</v>
      </c>
      <c r="N39" s="1" t="s">
        <v>209</v>
      </c>
      <c r="O39" s="1" t="s">
        <v>96</v>
      </c>
      <c r="Q39" s="1" t="s">
        <v>210</v>
      </c>
      <c r="R39" s="1" t="s">
        <v>110</v>
      </c>
      <c r="S39" s="6" t="n">
        <v>210000000000000</v>
      </c>
      <c r="T39" s="6" t="n">
        <v>4699080000000000</v>
      </c>
      <c r="V39" s="1" t="n">
        <v>10059</v>
      </c>
      <c r="W39" s="1" t="n">
        <v>3363</v>
      </c>
      <c r="X39" s="7" t="n">
        <v>0</v>
      </c>
      <c r="Y39" s="7" t="n">
        <v>0.0164907407407407</v>
      </c>
      <c r="Z39" s="1" t="n">
        <v>68.57</v>
      </c>
      <c r="AA39" s="1" t="s">
        <v>213</v>
      </c>
      <c r="AB39" s="7" t="n">
        <v>0</v>
      </c>
      <c r="AC39" s="2" t="n">
        <v>42719</v>
      </c>
      <c r="AD39" s="1" t="s">
        <v>212</v>
      </c>
      <c r="AE39" s="1" t="n">
        <v>173.62</v>
      </c>
      <c r="AF39" s="1" t="s">
        <v>77</v>
      </c>
      <c r="AG39" s="1" t="s">
        <v>78</v>
      </c>
      <c r="AH39" s="1" t="s">
        <v>101</v>
      </c>
      <c r="AI39" s="1" t="s">
        <v>102</v>
      </c>
      <c r="AJ39" s="1" t="s">
        <v>103</v>
      </c>
      <c r="AK39" s="1" t="n">
        <v>1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1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1</v>
      </c>
      <c r="BC39" s="1" t="n">
        <v>1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1</v>
      </c>
      <c r="BK39" s="1" t="n">
        <v>0</v>
      </c>
      <c r="BL39" s="1" t="n">
        <v>0</v>
      </c>
      <c r="BM39" s="1" t="n">
        <v>0</v>
      </c>
    </row>
    <row r="40" customFormat="false" ht="16.15" hidden="false" customHeight="false" outlineLevel="0" collapsed="false">
      <c r="A40" s="0" t="str">
        <f aca="false">_xlfn.CONCAT(E40, " ", D40)</f>
        <v>Mr. Edward Turner </v>
      </c>
      <c r="B40" s="0" t="str">
        <f aca="false">LEFT(D40, SEARCH(" ",D40,1))</f>
        <v>Edward </v>
      </c>
      <c r="C40" s="5" t="str">
        <f aca="false">RIGHT(D40,LEN(D40)-SEARCH(" ",D40,1))</f>
        <v>Turner </v>
      </c>
      <c r="D40" s="1" t="s">
        <v>214</v>
      </c>
      <c r="E40" s="1" t="s">
        <v>66</v>
      </c>
      <c r="F40" s="1" t="s">
        <v>215</v>
      </c>
      <c r="G40" s="1" t="s">
        <v>216</v>
      </c>
      <c r="H40" s="1" t="s">
        <v>217</v>
      </c>
      <c r="I40" s="1" t="s">
        <v>145</v>
      </c>
      <c r="J40" s="1" t="n">
        <v>71301</v>
      </c>
      <c r="K40" s="1" t="n">
        <v>0</v>
      </c>
      <c r="M40" s="1" t="s">
        <v>218</v>
      </c>
      <c r="N40" s="1" t="s">
        <v>219</v>
      </c>
      <c r="O40" s="1" t="s">
        <v>200</v>
      </c>
      <c r="Q40" s="1" t="s">
        <v>220</v>
      </c>
      <c r="R40" s="1" t="s">
        <v>110</v>
      </c>
      <c r="S40" s="6" t="n">
        <v>754000000000000</v>
      </c>
      <c r="T40" s="6" t="n">
        <v>36139400000000</v>
      </c>
      <c r="V40" s="1" t="n">
        <v>10063</v>
      </c>
      <c r="W40" s="1" t="n">
        <v>564</v>
      </c>
      <c r="X40" s="7" t="n">
        <v>0</v>
      </c>
      <c r="Y40" s="7" t="n">
        <v>0.0407974537037037</v>
      </c>
      <c r="Z40" s="1" t="n">
        <v>7.12</v>
      </c>
      <c r="AA40" s="1" t="s">
        <v>221</v>
      </c>
      <c r="AB40" s="7" t="n">
        <v>0</v>
      </c>
      <c r="AC40" s="2" t="n">
        <v>42520</v>
      </c>
      <c r="AD40" s="1" t="n">
        <v>65</v>
      </c>
      <c r="AE40" s="1" t="n">
        <v>198.38</v>
      </c>
      <c r="AF40" s="1" t="s">
        <v>115</v>
      </c>
      <c r="AG40" s="1" t="s">
        <v>85</v>
      </c>
      <c r="AH40" s="1" t="s">
        <v>79</v>
      </c>
      <c r="AI40" s="1" t="s">
        <v>102</v>
      </c>
      <c r="AJ40" s="1" t="s">
        <v>113</v>
      </c>
      <c r="AK40" s="1" t="n">
        <v>0</v>
      </c>
      <c r="AL40" s="1" t="n">
        <v>1</v>
      </c>
      <c r="AM40" s="1" t="n">
        <v>0</v>
      </c>
      <c r="AN40" s="1" t="n">
        <v>1</v>
      </c>
      <c r="AO40" s="1" t="n">
        <v>0</v>
      </c>
      <c r="AP40" s="1" t="n">
        <v>0</v>
      </c>
      <c r="AQ40" s="1" t="n">
        <v>1</v>
      </c>
      <c r="AR40" s="1" t="n">
        <v>0</v>
      </c>
      <c r="AS40" s="1" t="n">
        <v>1</v>
      </c>
      <c r="AT40" s="1" t="n">
        <v>1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1</v>
      </c>
      <c r="BC40" s="1" t="n">
        <v>0</v>
      </c>
      <c r="BD40" s="1" t="n">
        <v>0</v>
      </c>
      <c r="BE40" s="1" t="n">
        <v>0</v>
      </c>
      <c r="BF40" s="1" t="n">
        <v>1</v>
      </c>
      <c r="BG40" s="1" t="n">
        <v>0</v>
      </c>
      <c r="BH40" s="1" t="n">
        <v>0</v>
      </c>
      <c r="BI40" s="1" t="n">
        <v>0</v>
      </c>
      <c r="BJ40" s="1" t="n">
        <v>1</v>
      </c>
      <c r="BK40" s="1" t="n">
        <v>0</v>
      </c>
      <c r="BL40" s="1" t="n">
        <v>0</v>
      </c>
      <c r="BM40" s="1" t="n">
        <v>0</v>
      </c>
    </row>
    <row r="41" customFormat="false" ht="16.15" hidden="false" customHeight="false" outlineLevel="0" collapsed="false">
      <c r="A41" s="0" t="str">
        <f aca="false">_xlfn.CONCAT(E41, " ", D41)</f>
        <v>Mr. Edward Turner </v>
      </c>
      <c r="B41" s="0" t="str">
        <f aca="false">LEFT(D41, SEARCH(" ",D41,1))</f>
        <v>Edward </v>
      </c>
      <c r="C41" s="5" t="str">
        <f aca="false">RIGHT(D41,LEN(D41)-SEARCH(" ",D41,1))</f>
        <v>Turner </v>
      </c>
      <c r="D41" s="1" t="s">
        <v>214</v>
      </c>
      <c r="E41" s="1" t="s">
        <v>66</v>
      </c>
      <c r="F41" s="1" t="s">
        <v>215</v>
      </c>
      <c r="G41" s="1" t="s">
        <v>222</v>
      </c>
      <c r="H41" s="1" t="s">
        <v>217</v>
      </c>
      <c r="I41" s="1" t="s">
        <v>145</v>
      </c>
      <c r="J41" s="1" t="n">
        <v>71301</v>
      </c>
      <c r="K41" s="1" t="n">
        <v>0</v>
      </c>
      <c r="M41" s="1" t="s">
        <v>218</v>
      </c>
      <c r="N41" s="1" t="s">
        <v>219</v>
      </c>
      <c r="O41" s="1" t="s">
        <v>200</v>
      </c>
      <c r="Q41" s="1" t="s">
        <v>220</v>
      </c>
      <c r="R41" s="1" t="s">
        <v>110</v>
      </c>
      <c r="S41" s="6" t="n">
        <v>754000000000000</v>
      </c>
      <c r="T41" s="6" t="n">
        <v>36254100000000</v>
      </c>
      <c r="V41" s="1" t="n">
        <v>10063</v>
      </c>
      <c r="W41" s="1" t="n">
        <v>1506</v>
      </c>
      <c r="X41" s="7" t="n">
        <v>0</v>
      </c>
      <c r="Y41" s="7" t="n">
        <v>0.0238032407407407</v>
      </c>
      <c r="Z41" s="1" t="n">
        <v>22.77</v>
      </c>
      <c r="AA41" s="1" t="s">
        <v>223</v>
      </c>
      <c r="AB41" s="7" t="n">
        <v>0</v>
      </c>
      <c r="AC41" s="2" t="n">
        <v>42622</v>
      </c>
      <c r="AD41" s="1" t="n">
        <v>65</v>
      </c>
      <c r="AE41" s="1" t="n">
        <v>242.23</v>
      </c>
      <c r="AF41" s="1" t="s">
        <v>77</v>
      </c>
      <c r="AG41" s="1" t="s">
        <v>85</v>
      </c>
      <c r="AH41" s="1" t="s">
        <v>79</v>
      </c>
      <c r="AI41" s="1" t="s">
        <v>102</v>
      </c>
      <c r="AJ41" s="1" t="s">
        <v>113</v>
      </c>
      <c r="AK41" s="1" t="n">
        <v>0</v>
      </c>
      <c r="AL41" s="1" t="n">
        <v>1</v>
      </c>
      <c r="AM41" s="1" t="n">
        <v>1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1</v>
      </c>
      <c r="AT41" s="1" t="n">
        <v>1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1</v>
      </c>
      <c r="BC41" s="1" t="n">
        <v>0</v>
      </c>
      <c r="BD41" s="1" t="n">
        <v>0</v>
      </c>
      <c r="BE41" s="1" t="n">
        <v>0</v>
      </c>
      <c r="BF41" s="1" t="n">
        <v>1</v>
      </c>
      <c r="BG41" s="1" t="n">
        <v>0</v>
      </c>
      <c r="BH41" s="1" t="n">
        <v>1</v>
      </c>
      <c r="BI41" s="1" t="n">
        <v>0</v>
      </c>
      <c r="BJ41" s="1" t="n">
        <v>0</v>
      </c>
      <c r="BK41" s="1" t="n">
        <v>0</v>
      </c>
      <c r="BL41" s="1" t="n">
        <v>1</v>
      </c>
      <c r="BM41" s="1" t="n">
        <v>1</v>
      </c>
    </row>
    <row r="42" customFormat="false" ht="16.15" hidden="false" customHeight="false" outlineLevel="0" collapsed="false">
      <c r="A42" s="0" t="str">
        <f aca="false">_xlfn.CONCAT(E42, " ", D42)</f>
        <v>Mr. Edward Turner </v>
      </c>
      <c r="B42" s="0" t="str">
        <f aca="false">LEFT(D42, SEARCH(" ",D42,1))</f>
        <v>Edward </v>
      </c>
      <c r="C42" s="5" t="str">
        <f aca="false">RIGHT(D42,LEN(D42)-SEARCH(" ",D42,1))</f>
        <v>Turner </v>
      </c>
      <c r="D42" s="1" t="s">
        <v>214</v>
      </c>
      <c r="E42" s="1" t="s">
        <v>66</v>
      </c>
      <c r="F42" s="1" t="s">
        <v>215</v>
      </c>
      <c r="G42" s="1" t="s">
        <v>222</v>
      </c>
      <c r="H42" s="1" t="s">
        <v>217</v>
      </c>
      <c r="I42" s="1" t="s">
        <v>145</v>
      </c>
      <c r="J42" s="1" t="n">
        <v>71301</v>
      </c>
      <c r="K42" s="1" t="n">
        <v>0</v>
      </c>
      <c r="M42" s="1" t="s">
        <v>218</v>
      </c>
      <c r="N42" s="1" t="s">
        <v>219</v>
      </c>
      <c r="O42" s="1" t="s">
        <v>200</v>
      </c>
      <c r="Q42" s="1" t="s">
        <v>220</v>
      </c>
      <c r="R42" s="1" t="s">
        <v>110</v>
      </c>
      <c r="S42" s="6" t="n">
        <v>754000000000000</v>
      </c>
      <c r="T42" s="6" t="n">
        <v>36237400000000</v>
      </c>
      <c r="V42" s="1" t="n">
        <v>10063</v>
      </c>
      <c r="W42" s="1" t="n">
        <v>3586</v>
      </c>
      <c r="X42" s="7" t="n">
        <v>0</v>
      </c>
      <c r="Y42" s="7" t="n">
        <v>0.0238032407407407</v>
      </c>
      <c r="Z42" s="1" t="n">
        <v>11.45</v>
      </c>
      <c r="AA42" s="1" t="s">
        <v>170</v>
      </c>
      <c r="AB42" s="7" t="n">
        <v>0</v>
      </c>
      <c r="AC42" s="2" t="n">
        <v>42723</v>
      </c>
      <c r="AD42" s="1" t="n">
        <v>65</v>
      </c>
      <c r="AE42" s="1" t="n">
        <v>270.16</v>
      </c>
      <c r="AF42" s="1" t="s">
        <v>77</v>
      </c>
      <c r="AG42" s="1" t="s">
        <v>85</v>
      </c>
      <c r="AH42" s="1" t="s">
        <v>79</v>
      </c>
      <c r="AI42" s="1" t="s">
        <v>102</v>
      </c>
      <c r="AJ42" s="1" t="s">
        <v>113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1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1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1</v>
      </c>
      <c r="BM42" s="1" t="n">
        <v>1</v>
      </c>
    </row>
    <row r="43" customFormat="false" ht="16.15" hidden="false" customHeight="false" outlineLevel="0" collapsed="false">
      <c r="A43" s="0" t="str">
        <f aca="false">_xlfn.CONCAT(E43, " ", D43)</f>
        <v>Mrs. Amy Randle </v>
      </c>
      <c r="B43" s="0" t="str">
        <f aca="false">LEFT(D43, SEARCH(" ",D43,1))</f>
        <v>Amy </v>
      </c>
      <c r="C43" s="5" t="str">
        <f aca="false">RIGHT(D43,LEN(D43)-SEARCH(" ",D43,1))</f>
        <v>Randle </v>
      </c>
      <c r="D43" s="1" t="s">
        <v>224</v>
      </c>
      <c r="E43" s="1" t="s">
        <v>154</v>
      </c>
      <c r="F43" s="1" t="s">
        <v>225</v>
      </c>
      <c r="G43" s="1" t="s">
        <v>226</v>
      </c>
      <c r="I43" s="1" t="s">
        <v>121</v>
      </c>
      <c r="J43" s="1" t="n">
        <v>7210</v>
      </c>
      <c r="K43" s="1" t="n">
        <v>0</v>
      </c>
      <c r="M43" s="1" t="s">
        <v>227</v>
      </c>
      <c r="N43" s="1" t="s">
        <v>228</v>
      </c>
      <c r="O43" s="1" t="s">
        <v>96</v>
      </c>
      <c r="Q43" s="1" t="s">
        <v>229</v>
      </c>
      <c r="R43" s="1" t="s">
        <v>75</v>
      </c>
      <c r="S43" s="1" t="n">
        <v>515250001</v>
      </c>
      <c r="T43" s="6" t="n">
        <v>4594160000000000</v>
      </c>
      <c r="V43" s="1" t="n">
        <v>10067</v>
      </c>
      <c r="W43" s="1" t="n">
        <v>1042</v>
      </c>
      <c r="X43" s="7" t="n">
        <v>0</v>
      </c>
      <c r="Y43" s="7" t="n">
        <v>0.0399953703703704</v>
      </c>
      <c r="Z43" s="1" t="n">
        <v>27.99</v>
      </c>
      <c r="AA43" s="1" t="s">
        <v>230</v>
      </c>
      <c r="AB43" s="7" t="n">
        <v>0</v>
      </c>
      <c r="AC43" s="2" t="n">
        <v>42652</v>
      </c>
      <c r="AD43" s="1" t="n">
        <v>28</v>
      </c>
      <c r="AE43" s="1" t="n">
        <v>57.87</v>
      </c>
      <c r="AF43" s="1" t="s">
        <v>115</v>
      </c>
      <c r="AG43" s="1" t="s">
        <v>78</v>
      </c>
      <c r="AH43" s="1" t="s">
        <v>79</v>
      </c>
      <c r="AI43" s="1" t="s">
        <v>80</v>
      </c>
      <c r="AJ43" s="1" t="s">
        <v>81</v>
      </c>
      <c r="AK43" s="1" t="n">
        <v>0</v>
      </c>
      <c r="AL43" s="1" t="n">
        <v>1</v>
      </c>
      <c r="AM43" s="1" t="n">
        <v>0</v>
      </c>
      <c r="AN43" s="1" t="n">
        <v>0</v>
      </c>
      <c r="AO43" s="1" t="n">
        <v>0</v>
      </c>
      <c r="AP43" s="1" t="n">
        <v>1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1</v>
      </c>
      <c r="BB43" s="1" t="n">
        <v>0</v>
      </c>
      <c r="BC43" s="1" t="n">
        <v>0</v>
      </c>
      <c r="BD43" s="1" t="n">
        <v>1</v>
      </c>
      <c r="BE43" s="1" t="n">
        <v>1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1</v>
      </c>
      <c r="BL43" s="1" t="n">
        <v>0</v>
      </c>
      <c r="BM43" s="1" t="n">
        <v>0</v>
      </c>
    </row>
    <row r="44" customFormat="false" ht="16.15" hidden="false" customHeight="false" outlineLevel="0" collapsed="false">
      <c r="A44" s="0" t="str">
        <f aca="false">_xlfn.CONCAT(E44, " ", D44)</f>
        <v>Mrs. Amy Randle </v>
      </c>
      <c r="B44" s="0" t="str">
        <f aca="false">LEFT(D44, SEARCH(" ",D44,1))</f>
        <v>Amy </v>
      </c>
      <c r="C44" s="5" t="str">
        <f aca="false">RIGHT(D44,LEN(D44)-SEARCH(" ",D44,1))</f>
        <v>Randle </v>
      </c>
      <c r="D44" s="1" t="s">
        <v>224</v>
      </c>
      <c r="E44" s="1" t="s">
        <v>154</v>
      </c>
      <c r="F44" s="1" t="s">
        <v>225</v>
      </c>
      <c r="G44" s="1" t="s">
        <v>226</v>
      </c>
      <c r="I44" s="1" t="s">
        <v>121</v>
      </c>
      <c r="J44" s="1" t="n">
        <v>7210</v>
      </c>
      <c r="K44" s="1" t="n">
        <v>0</v>
      </c>
      <c r="M44" s="1" t="s">
        <v>227</v>
      </c>
      <c r="N44" s="1" t="s">
        <v>228</v>
      </c>
      <c r="O44" s="1" t="s">
        <v>96</v>
      </c>
      <c r="Q44" s="1" t="s">
        <v>229</v>
      </c>
      <c r="R44" s="1" t="s">
        <v>75</v>
      </c>
      <c r="S44" s="1" t="n">
        <v>515250001</v>
      </c>
      <c r="T44" s="6" t="n">
        <v>4630680000000000</v>
      </c>
      <c r="V44" s="1" t="n">
        <v>10067</v>
      </c>
      <c r="W44" s="1" t="n">
        <v>1239</v>
      </c>
      <c r="X44" s="7" t="n">
        <v>0</v>
      </c>
      <c r="Y44" s="7" t="n">
        <v>0.0202106481481481</v>
      </c>
      <c r="Z44" s="1" t="n">
        <v>7.85</v>
      </c>
      <c r="AA44" s="1" t="s">
        <v>125</v>
      </c>
      <c r="AB44" s="7" t="n">
        <v>0</v>
      </c>
      <c r="AC44" s="2" t="n">
        <v>42430</v>
      </c>
      <c r="AD44" s="1" t="n">
        <v>28</v>
      </c>
      <c r="AE44" s="1" t="n">
        <v>378</v>
      </c>
      <c r="AF44" s="1" t="s">
        <v>77</v>
      </c>
      <c r="AG44" s="1" t="s">
        <v>78</v>
      </c>
      <c r="AH44" s="1" t="s">
        <v>79</v>
      </c>
      <c r="AI44" s="1" t="s">
        <v>86</v>
      </c>
      <c r="AJ44" s="1" t="s">
        <v>81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1</v>
      </c>
      <c r="AV44" s="1" t="n">
        <v>0</v>
      </c>
      <c r="AW44" s="1" t="n">
        <v>1</v>
      </c>
      <c r="AX44" s="1" t="n">
        <v>0</v>
      </c>
      <c r="AY44" s="1" t="n">
        <v>0</v>
      </c>
      <c r="AZ44" s="1" t="n">
        <v>0</v>
      </c>
      <c r="BA44" s="1" t="n">
        <v>1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</row>
    <row r="45" customFormat="false" ht="16.15" hidden="false" customHeight="false" outlineLevel="0" collapsed="false">
      <c r="A45" s="0" t="str">
        <f aca="false">_xlfn.CONCAT(E45, " ", D45)</f>
        <v>Mr. Rafael Middleton </v>
      </c>
      <c r="B45" s="0" t="str">
        <f aca="false">LEFT(D45, SEARCH(" ",D45,1))</f>
        <v>Rafael </v>
      </c>
      <c r="C45" s="5" t="str">
        <f aca="false">RIGHT(D45,LEN(D45)-SEARCH(" ",D45,1))</f>
        <v>Middleton </v>
      </c>
      <c r="D45" s="1" t="s">
        <v>231</v>
      </c>
      <c r="E45" s="1" t="s">
        <v>66</v>
      </c>
      <c r="F45" s="1" t="s">
        <v>232</v>
      </c>
      <c r="G45" s="1" t="s">
        <v>233</v>
      </c>
      <c r="H45" s="1" t="s">
        <v>234</v>
      </c>
      <c r="I45" s="1" t="s">
        <v>145</v>
      </c>
      <c r="J45" s="1" t="n">
        <v>20222</v>
      </c>
      <c r="K45" s="1" t="n">
        <v>0</v>
      </c>
      <c r="M45" s="1" t="s">
        <v>235</v>
      </c>
      <c r="N45" s="1" t="s">
        <v>236</v>
      </c>
      <c r="O45" s="1" t="s">
        <v>237</v>
      </c>
      <c r="Q45" s="1" t="s">
        <v>238</v>
      </c>
      <c r="R45" s="1" t="s">
        <v>75</v>
      </c>
      <c r="S45" s="1" t="n">
        <v>530990002</v>
      </c>
      <c r="T45" s="6" t="n">
        <v>3528920000000000</v>
      </c>
      <c r="V45" s="1" t="n">
        <v>10075</v>
      </c>
      <c r="W45" s="1" t="n">
        <v>670</v>
      </c>
      <c r="X45" s="7" t="n">
        <v>0</v>
      </c>
      <c r="Y45" s="7" t="n">
        <v>0.0271550925925926</v>
      </c>
      <c r="Z45" s="1" t="n">
        <v>11.85</v>
      </c>
      <c r="AA45" s="1" t="s">
        <v>99</v>
      </c>
      <c r="AB45" s="7" t="n">
        <v>0</v>
      </c>
      <c r="AC45" s="2" t="n">
        <v>42427</v>
      </c>
      <c r="AD45" s="1" t="n">
        <v>73</v>
      </c>
      <c r="AE45" s="1" t="n">
        <v>142.54</v>
      </c>
      <c r="AF45" s="1" t="s">
        <v>77</v>
      </c>
      <c r="AG45" s="1" t="s">
        <v>85</v>
      </c>
      <c r="AH45" s="1" t="s">
        <v>79</v>
      </c>
      <c r="AI45" s="1" t="s">
        <v>80</v>
      </c>
      <c r="AJ45" s="1" t="s">
        <v>113</v>
      </c>
      <c r="AK45" s="1" t="n">
        <v>0</v>
      </c>
      <c r="AL45" s="1" t="n">
        <v>0</v>
      </c>
      <c r="AM45" s="1" t="n">
        <v>0</v>
      </c>
      <c r="AN45" s="1" t="n">
        <v>1</v>
      </c>
      <c r="AO45" s="1" t="n">
        <v>0</v>
      </c>
      <c r="AP45" s="1" t="n">
        <v>0</v>
      </c>
      <c r="AQ45" s="1" t="n">
        <v>0</v>
      </c>
      <c r="AR45" s="1" t="n">
        <v>1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1</v>
      </c>
      <c r="AZ45" s="1" t="n">
        <v>0</v>
      </c>
      <c r="BA45" s="1" t="n">
        <v>0</v>
      </c>
      <c r="BB45" s="1" t="n">
        <v>1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1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1</v>
      </c>
    </row>
    <row r="46" customFormat="false" ht="16.15" hidden="false" customHeight="false" outlineLevel="0" collapsed="false">
      <c r="A46" s="0" t="str">
        <f aca="false">_xlfn.CONCAT(E46, " ", D46)</f>
        <v>Mr. Rafael Middleton </v>
      </c>
      <c r="B46" s="0" t="str">
        <f aca="false">LEFT(D46, SEARCH(" ",D46,1))</f>
        <v>Rafael </v>
      </c>
      <c r="C46" s="5" t="str">
        <f aca="false">RIGHT(D46,LEN(D46)-SEARCH(" ",D46,1))</f>
        <v>Middleton </v>
      </c>
      <c r="D46" s="1" t="s">
        <v>231</v>
      </c>
      <c r="E46" s="1" t="s">
        <v>66</v>
      </c>
      <c r="F46" s="1" t="s">
        <v>232</v>
      </c>
      <c r="G46" s="1" t="s">
        <v>233</v>
      </c>
      <c r="H46" s="1" t="s">
        <v>234</v>
      </c>
      <c r="I46" s="1" t="s">
        <v>145</v>
      </c>
      <c r="J46" s="1" t="n">
        <v>20222</v>
      </c>
      <c r="K46" s="1" t="n">
        <v>0</v>
      </c>
      <c r="M46" s="1" t="s">
        <v>235</v>
      </c>
      <c r="N46" s="1" t="s">
        <v>236</v>
      </c>
      <c r="O46" s="1" t="s">
        <v>237</v>
      </c>
      <c r="Q46" s="1" t="s">
        <v>238</v>
      </c>
      <c r="R46" s="1" t="s">
        <v>75</v>
      </c>
      <c r="S46" s="1" t="n">
        <v>530990002</v>
      </c>
      <c r="T46" s="6" t="n">
        <v>3528680000000000</v>
      </c>
      <c r="V46" s="1" t="n">
        <v>10075</v>
      </c>
      <c r="W46" s="1" t="n">
        <v>2231</v>
      </c>
      <c r="X46" s="7" t="n">
        <v>0</v>
      </c>
      <c r="Y46" s="7" t="n">
        <v>0.0332916666666667</v>
      </c>
      <c r="Z46" s="1" t="n">
        <v>9</v>
      </c>
      <c r="AA46" s="1" t="s">
        <v>239</v>
      </c>
      <c r="AB46" s="7" t="n">
        <v>0</v>
      </c>
      <c r="AC46" s="2" t="n">
        <v>42729</v>
      </c>
      <c r="AD46" s="1" t="n">
        <v>73</v>
      </c>
      <c r="AE46" s="1" t="n">
        <v>197.81</v>
      </c>
      <c r="AF46" s="1" t="s">
        <v>77</v>
      </c>
      <c r="AG46" s="1" t="s">
        <v>85</v>
      </c>
      <c r="AH46" s="1" t="s">
        <v>79</v>
      </c>
      <c r="AI46" s="1" t="s">
        <v>102</v>
      </c>
      <c r="AJ46" s="1" t="s">
        <v>113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1</v>
      </c>
      <c r="BA46" s="1" t="n">
        <v>0</v>
      </c>
      <c r="BB46" s="1" t="n">
        <v>1</v>
      </c>
      <c r="BC46" s="1" t="n">
        <v>0</v>
      </c>
      <c r="BD46" s="1" t="n">
        <v>0</v>
      </c>
      <c r="BE46" s="1" t="n">
        <v>0</v>
      </c>
      <c r="BF46" s="1" t="n">
        <v>1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1</v>
      </c>
    </row>
    <row r="47" customFormat="false" ht="16.15" hidden="false" customHeight="false" outlineLevel="0" collapsed="false">
      <c r="A47" s="0" t="str">
        <f aca="false">_xlfn.CONCAT(E47, " ", D47)</f>
        <v>Mr. Rafael Middleton </v>
      </c>
      <c r="B47" s="0" t="str">
        <f aca="false">LEFT(D47, SEARCH(" ",D47,1))</f>
        <v>Rafael </v>
      </c>
      <c r="C47" s="5" t="str">
        <f aca="false">RIGHT(D47,LEN(D47)-SEARCH(" ",D47,1))</f>
        <v>Middleton </v>
      </c>
      <c r="D47" s="1" t="s">
        <v>231</v>
      </c>
      <c r="E47" s="1" t="s">
        <v>66</v>
      </c>
      <c r="F47" s="1" t="s">
        <v>232</v>
      </c>
      <c r="G47" s="1" t="s">
        <v>233</v>
      </c>
      <c r="H47" s="1" t="s">
        <v>234</v>
      </c>
      <c r="I47" s="1" t="s">
        <v>145</v>
      </c>
      <c r="J47" s="1" t="n">
        <v>20222</v>
      </c>
      <c r="K47" s="1" t="n">
        <v>0</v>
      </c>
      <c r="M47" s="1" t="s">
        <v>235</v>
      </c>
      <c r="N47" s="1" t="s">
        <v>236</v>
      </c>
      <c r="O47" s="1" t="s">
        <v>237</v>
      </c>
      <c r="Q47" s="1" t="s">
        <v>238</v>
      </c>
      <c r="R47" s="1" t="s">
        <v>75</v>
      </c>
      <c r="S47" s="1" t="n">
        <v>530990002</v>
      </c>
      <c r="T47" s="6" t="n">
        <v>3528160000000000</v>
      </c>
      <c r="V47" s="1" t="n">
        <v>10075</v>
      </c>
      <c r="W47" s="1" t="n">
        <v>9068</v>
      </c>
      <c r="X47" s="7" t="n">
        <v>0</v>
      </c>
      <c r="Y47" s="7" t="n">
        <v>0.00528240740740741</v>
      </c>
      <c r="Z47" s="1" t="n">
        <v>16.27</v>
      </c>
      <c r="AA47" s="1" t="s">
        <v>89</v>
      </c>
      <c r="AB47" s="7" t="n">
        <v>0</v>
      </c>
      <c r="AC47" s="2" t="n">
        <v>42372</v>
      </c>
      <c r="AD47" s="1" t="n">
        <v>73</v>
      </c>
      <c r="AE47" s="1" t="n">
        <v>179.38</v>
      </c>
      <c r="AF47" s="1" t="s">
        <v>77</v>
      </c>
      <c r="AG47" s="1" t="s">
        <v>85</v>
      </c>
      <c r="AH47" s="1" t="s">
        <v>79</v>
      </c>
      <c r="AI47" s="1" t="s">
        <v>102</v>
      </c>
      <c r="AJ47" s="1" t="s">
        <v>113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1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1</v>
      </c>
      <c r="AZ47" s="1" t="n">
        <v>1</v>
      </c>
      <c r="BA47" s="1" t="n">
        <v>0</v>
      </c>
      <c r="BB47" s="1" t="n">
        <v>1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1</v>
      </c>
      <c r="BM47" s="1" t="n">
        <v>0</v>
      </c>
    </row>
    <row r="48" customFormat="false" ht="16.15" hidden="false" customHeight="false" outlineLevel="0" collapsed="false">
      <c r="A48" s="0" t="str">
        <f aca="false">_xlfn.CONCAT(E48, " ", D48)</f>
        <v>Mr. Earl Bruner </v>
      </c>
      <c r="B48" s="0" t="str">
        <f aca="false">LEFT(D48, SEARCH(" ",D48,1))</f>
        <v>Earl </v>
      </c>
      <c r="C48" s="5" t="str">
        <f aca="false">RIGHT(D48,LEN(D48)-SEARCH(" ",D48,1))</f>
        <v>Bruner </v>
      </c>
      <c r="D48" s="1" t="s">
        <v>240</v>
      </c>
      <c r="E48" s="1" t="s">
        <v>66</v>
      </c>
      <c r="F48" s="1" t="s">
        <v>241</v>
      </c>
      <c r="G48" s="1" t="s">
        <v>242</v>
      </c>
      <c r="H48" s="1" t="s">
        <v>243</v>
      </c>
      <c r="I48" s="1" t="s">
        <v>244</v>
      </c>
      <c r="J48" s="1" t="s">
        <v>245</v>
      </c>
      <c r="K48" s="1" t="n">
        <v>0</v>
      </c>
      <c r="M48" s="1" t="s">
        <v>246</v>
      </c>
      <c r="N48" s="1" t="s">
        <v>247</v>
      </c>
      <c r="O48" s="1" t="s">
        <v>148</v>
      </c>
      <c r="Q48" s="1" t="s">
        <v>248</v>
      </c>
      <c r="R48" s="1" t="s">
        <v>121</v>
      </c>
      <c r="S48" s="1" t="s">
        <v>249</v>
      </c>
      <c r="T48" s="6" t="n">
        <v>377233000000000</v>
      </c>
      <c r="V48" s="1" t="n">
        <v>10079</v>
      </c>
      <c r="W48" s="1" t="n">
        <v>3545</v>
      </c>
      <c r="X48" s="7" t="n">
        <v>0</v>
      </c>
      <c r="Y48" s="7" t="n">
        <v>0.0400393518518519</v>
      </c>
      <c r="Z48" s="1" t="n">
        <v>6.37</v>
      </c>
      <c r="AA48" s="1" t="s">
        <v>250</v>
      </c>
      <c r="AB48" s="7" t="n">
        <v>0</v>
      </c>
      <c r="AC48" s="2" t="n">
        <v>42490</v>
      </c>
      <c r="AD48" s="1" t="n">
        <v>19</v>
      </c>
      <c r="AE48" s="1" t="n">
        <v>20.37</v>
      </c>
      <c r="AF48" s="1" t="s">
        <v>77</v>
      </c>
      <c r="AG48" s="1" t="s">
        <v>78</v>
      </c>
      <c r="AH48" s="1" t="s">
        <v>79</v>
      </c>
      <c r="AI48" s="1" t="s">
        <v>86</v>
      </c>
      <c r="AJ48" s="1" t="s">
        <v>103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1</v>
      </c>
      <c r="AV48" s="1" t="n">
        <v>0</v>
      </c>
      <c r="AW48" s="1" t="n">
        <v>1</v>
      </c>
      <c r="AX48" s="1" t="n">
        <v>0</v>
      </c>
      <c r="AY48" s="1" t="n">
        <v>0</v>
      </c>
      <c r="AZ48" s="1" t="n">
        <v>0</v>
      </c>
      <c r="BA48" s="1" t="n">
        <v>1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</row>
    <row r="49" customFormat="false" ht="16.15" hidden="false" customHeight="false" outlineLevel="0" collapsed="false">
      <c r="A49" s="0" t="str">
        <f aca="false">_xlfn.CONCAT(E49, " ", D49)</f>
        <v>Mrs. Linda Garcia </v>
      </c>
      <c r="B49" s="0" t="str">
        <f aca="false">LEFT(D49, SEARCH(" ",D49,1))</f>
        <v>Linda </v>
      </c>
      <c r="C49" s="5" t="str">
        <f aca="false">RIGHT(D49,LEN(D49)-SEARCH(" ",D49,1))</f>
        <v>Garcia </v>
      </c>
      <c r="D49" s="1" t="s">
        <v>251</v>
      </c>
      <c r="E49" s="1" t="s">
        <v>154</v>
      </c>
      <c r="F49" s="1" t="s">
        <v>252</v>
      </c>
      <c r="G49" s="1" t="s">
        <v>253</v>
      </c>
      <c r="H49" s="1" t="s">
        <v>254</v>
      </c>
      <c r="I49" s="1" t="s">
        <v>70</v>
      </c>
      <c r="J49" s="1" t="n">
        <v>37060</v>
      </c>
      <c r="K49" s="1" t="n">
        <v>0</v>
      </c>
      <c r="M49" s="1" t="s">
        <v>255</v>
      </c>
      <c r="N49" s="1" t="s">
        <v>256</v>
      </c>
      <c r="O49" s="1" t="s">
        <v>237</v>
      </c>
      <c r="Q49" s="1" t="s">
        <v>257</v>
      </c>
      <c r="R49" s="1" t="s">
        <v>75</v>
      </c>
      <c r="S49" s="1" t="n">
        <v>22868164</v>
      </c>
      <c r="T49" s="6" t="n">
        <v>3528900000000000</v>
      </c>
      <c r="V49" s="1" t="n">
        <v>10083</v>
      </c>
      <c r="W49" s="1" t="n">
        <v>1728</v>
      </c>
      <c r="X49" s="7" t="n">
        <v>0</v>
      </c>
      <c r="Y49" s="7" t="n">
        <v>0.0413912037037037</v>
      </c>
      <c r="Z49" s="1" t="n">
        <v>17.87</v>
      </c>
      <c r="AA49" s="1" t="s">
        <v>258</v>
      </c>
      <c r="AB49" s="7" t="n">
        <v>0</v>
      </c>
      <c r="AC49" s="2" t="n">
        <v>42731</v>
      </c>
      <c r="AD49" s="1" t="n">
        <v>40</v>
      </c>
      <c r="AE49" s="1" t="n">
        <v>560</v>
      </c>
      <c r="AF49" s="1" t="s">
        <v>77</v>
      </c>
      <c r="AG49" s="1" t="s">
        <v>78</v>
      </c>
      <c r="AH49" s="1" t="s">
        <v>112</v>
      </c>
      <c r="AI49" s="1" t="s">
        <v>86</v>
      </c>
      <c r="AJ49" s="1" t="s">
        <v>81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1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</row>
    <row r="50" customFormat="false" ht="16.15" hidden="false" customHeight="false" outlineLevel="0" collapsed="false">
      <c r="A50" s="0" t="str">
        <f aca="false">_xlfn.CONCAT(E50, " ", D50)</f>
        <v>Master. Quinn Perry </v>
      </c>
      <c r="B50" s="0" t="str">
        <f aca="false">LEFT(D50, SEARCH(" ",D50,1))</f>
        <v>Quinn </v>
      </c>
      <c r="C50" s="5" t="str">
        <f aca="false">RIGHT(D50,LEN(D50)-SEARCH(" ",D50,1))</f>
        <v>Perry </v>
      </c>
      <c r="D50" s="1" t="s">
        <v>259</v>
      </c>
      <c r="E50" s="1" t="s">
        <v>260</v>
      </c>
      <c r="F50" s="1" t="s">
        <v>261</v>
      </c>
      <c r="G50" s="1" t="s">
        <v>262</v>
      </c>
      <c r="H50" s="1" t="s">
        <v>263</v>
      </c>
      <c r="I50" s="1" t="s">
        <v>145</v>
      </c>
      <c r="J50" s="1" t="n">
        <v>79109</v>
      </c>
      <c r="K50" s="1" t="n">
        <v>0</v>
      </c>
      <c r="M50" s="1" t="s">
        <v>264</v>
      </c>
      <c r="N50" s="1" t="s">
        <v>265</v>
      </c>
      <c r="O50" s="1" t="s">
        <v>148</v>
      </c>
      <c r="Q50" s="1" t="s">
        <v>266</v>
      </c>
      <c r="R50" s="1" t="s">
        <v>70</v>
      </c>
      <c r="S50" s="1" t="s">
        <v>267</v>
      </c>
      <c r="T50" s="6" t="n">
        <v>343640000000000</v>
      </c>
      <c r="V50" s="1" t="n">
        <v>10091</v>
      </c>
      <c r="W50" s="1" t="n">
        <v>3359</v>
      </c>
      <c r="X50" s="7" t="n">
        <v>0</v>
      </c>
      <c r="Y50" s="7" t="n">
        <v>0.0413912037037037</v>
      </c>
      <c r="Z50" s="1" t="n">
        <v>68.57</v>
      </c>
      <c r="AA50" s="1" t="s">
        <v>258</v>
      </c>
      <c r="AB50" s="7" t="n">
        <v>0</v>
      </c>
      <c r="AC50" s="2" t="n">
        <v>42731</v>
      </c>
      <c r="AD50" s="1" t="n">
        <v>40</v>
      </c>
      <c r="AE50" s="1" t="n">
        <v>24.08</v>
      </c>
      <c r="AF50" s="1" t="s">
        <v>77</v>
      </c>
      <c r="AG50" s="1" t="s">
        <v>78</v>
      </c>
      <c r="AH50" s="1" t="s">
        <v>112</v>
      </c>
      <c r="AI50" s="1" t="s">
        <v>86</v>
      </c>
      <c r="AJ50" s="1" t="s">
        <v>81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1</v>
      </c>
      <c r="AV50" s="1" t="n">
        <v>0</v>
      </c>
      <c r="AW50" s="1" t="n">
        <v>1</v>
      </c>
      <c r="AX50" s="1" t="n">
        <v>0</v>
      </c>
      <c r="AY50" s="1" t="n">
        <v>0</v>
      </c>
      <c r="AZ50" s="1" t="n">
        <v>0</v>
      </c>
      <c r="BA50" s="1" t="n">
        <v>1</v>
      </c>
      <c r="BB50" s="1" t="n">
        <v>0</v>
      </c>
      <c r="BC50" s="1" t="n">
        <v>0</v>
      </c>
      <c r="BD50" s="1" t="n">
        <v>0</v>
      </c>
      <c r="BE50" s="1" t="n">
        <v>1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</row>
    <row r="51" customFormat="false" ht="16.15" hidden="false" customHeight="false" outlineLevel="0" collapsed="false">
      <c r="A51" s="0" t="str">
        <f aca="false">_xlfn.CONCAT(E51, " ", D51)</f>
        <v>Master. Quinn Perry </v>
      </c>
      <c r="B51" s="0" t="str">
        <f aca="false">LEFT(D51, SEARCH(" ",D51,1))</f>
        <v>Quinn </v>
      </c>
      <c r="C51" s="5" t="str">
        <f aca="false">RIGHT(D51,LEN(D51)-SEARCH(" ",D51,1))</f>
        <v>Perry </v>
      </c>
      <c r="D51" s="1" t="s">
        <v>259</v>
      </c>
      <c r="E51" s="1" t="s">
        <v>260</v>
      </c>
      <c r="F51" s="1" t="s">
        <v>261</v>
      </c>
      <c r="G51" s="1" t="s">
        <v>262</v>
      </c>
      <c r="H51" s="1" t="s">
        <v>263</v>
      </c>
      <c r="I51" s="1" t="s">
        <v>145</v>
      </c>
      <c r="J51" s="1" t="n">
        <v>79109</v>
      </c>
      <c r="K51" s="1" t="n">
        <v>0</v>
      </c>
      <c r="M51" s="1" t="s">
        <v>264</v>
      </c>
      <c r="N51" s="1" t="s">
        <v>265</v>
      </c>
      <c r="O51" s="1" t="s">
        <v>148</v>
      </c>
      <c r="Q51" s="1" t="s">
        <v>266</v>
      </c>
      <c r="R51" s="1" t="s">
        <v>70</v>
      </c>
      <c r="S51" s="1" t="s">
        <v>267</v>
      </c>
      <c r="T51" s="6" t="n">
        <v>374897000000000</v>
      </c>
      <c r="V51" s="1" t="n">
        <v>10091</v>
      </c>
      <c r="W51" s="1" t="n">
        <v>6717</v>
      </c>
      <c r="X51" s="7" t="n">
        <v>0</v>
      </c>
      <c r="Y51" s="7" t="n">
        <v>0.00965972222222222</v>
      </c>
      <c r="Z51" s="1" t="n">
        <v>13.25</v>
      </c>
      <c r="AA51" s="1" t="s">
        <v>268</v>
      </c>
      <c r="AB51" s="7" t="n">
        <v>0</v>
      </c>
      <c r="AC51" s="2" t="n">
        <v>42554</v>
      </c>
      <c r="AD51" s="1" t="n">
        <v>40</v>
      </c>
      <c r="AE51" s="1" t="n">
        <v>5.2</v>
      </c>
      <c r="AF51" s="1" t="s">
        <v>77</v>
      </c>
      <c r="AG51" s="1" t="s">
        <v>78</v>
      </c>
      <c r="AH51" s="1" t="s">
        <v>112</v>
      </c>
      <c r="AI51" s="1" t="s">
        <v>86</v>
      </c>
      <c r="AJ51" s="1" t="s">
        <v>81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1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1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1</v>
      </c>
      <c r="BL51" s="1" t="n">
        <v>0</v>
      </c>
      <c r="BM51" s="1" t="n">
        <v>0</v>
      </c>
    </row>
    <row r="52" customFormat="false" ht="16.15" hidden="false" customHeight="false" outlineLevel="0" collapsed="false">
      <c r="A52" s="0" t="str">
        <f aca="false">_xlfn.CONCAT(E52, " ", D52)</f>
        <v>Master. Quinn Perry </v>
      </c>
      <c r="B52" s="0" t="str">
        <f aca="false">LEFT(D52, SEARCH(" ",D52,1))</f>
        <v>Quinn </v>
      </c>
      <c r="C52" s="5" t="str">
        <f aca="false">RIGHT(D52,LEN(D52)-SEARCH(" ",D52,1))</f>
        <v>Perry </v>
      </c>
      <c r="D52" s="1" t="s">
        <v>259</v>
      </c>
      <c r="E52" s="1" t="s">
        <v>260</v>
      </c>
      <c r="F52" s="1" t="s">
        <v>261</v>
      </c>
      <c r="G52" s="1" t="s">
        <v>262</v>
      </c>
      <c r="H52" s="1" t="s">
        <v>263</v>
      </c>
      <c r="I52" s="1" t="s">
        <v>145</v>
      </c>
      <c r="J52" s="1" t="n">
        <v>79109</v>
      </c>
      <c r="K52" s="1" t="n">
        <v>0</v>
      </c>
      <c r="M52" s="1" t="s">
        <v>264</v>
      </c>
      <c r="N52" s="1" t="s">
        <v>265</v>
      </c>
      <c r="O52" s="1" t="s">
        <v>148</v>
      </c>
      <c r="Q52" s="1" t="s">
        <v>266</v>
      </c>
      <c r="R52" s="1" t="s">
        <v>70</v>
      </c>
      <c r="S52" s="1" t="s">
        <v>267</v>
      </c>
      <c r="T52" s="6" t="n">
        <v>341829000000000</v>
      </c>
      <c r="V52" s="1" t="n">
        <v>10091</v>
      </c>
      <c r="W52" s="1" t="n">
        <v>7265</v>
      </c>
      <c r="X52" s="7" t="n">
        <v>0</v>
      </c>
      <c r="Y52" s="7" t="n">
        <v>0.00531712962962963</v>
      </c>
      <c r="Z52" s="1" t="n">
        <v>7.45</v>
      </c>
      <c r="AA52" s="1" t="s">
        <v>269</v>
      </c>
      <c r="AB52" s="7" t="n">
        <v>0</v>
      </c>
      <c r="AC52" s="2" t="n">
        <v>42704</v>
      </c>
      <c r="AD52" s="1" t="n">
        <v>40</v>
      </c>
      <c r="AE52" s="1" t="n">
        <v>35.16</v>
      </c>
      <c r="AF52" s="1" t="s">
        <v>129</v>
      </c>
      <c r="AG52" s="1" t="s">
        <v>78</v>
      </c>
      <c r="AH52" s="1" t="s">
        <v>112</v>
      </c>
      <c r="AI52" s="1" t="s">
        <v>86</v>
      </c>
      <c r="AJ52" s="1" t="s">
        <v>81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1</v>
      </c>
      <c r="AV52" s="1" t="n">
        <v>0</v>
      </c>
      <c r="AW52" s="1" t="n">
        <v>1</v>
      </c>
      <c r="AX52" s="1" t="n">
        <v>0</v>
      </c>
      <c r="AY52" s="1" t="n">
        <v>0</v>
      </c>
      <c r="AZ52" s="1" t="n">
        <v>0</v>
      </c>
      <c r="BA52" s="1" t="n">
        <v>1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</row>
    <row r="53" customFormat="false" ht="16.15" hidden="false" customHeight="false" outlineLevel="0" collapsed="false">
      <c r="A53" s="0" t="str">
        <f aca="false">_xlfn.CONCAT(E53, " ", D53)</f>
        <v>Mrs. Kristin Mendoza </v>
      </c>
      <c r="B53" s="0" t="str">
        <f aca="false">LEFT(D53, SEARCH(" ",D53,1))</f>
        <v>Kristin </v>
      </c>
      <c r="C53" s="5" t="str">
        <f aca="false">RIGHT(D53,LEN(D53)-SEARCH(" ",D53,1))</f>
        <v>Mendoza </v>
      </c>
      <c r="D53" s="1" t="s">
        <v>270</v>
      </c>
      <c r="E53" s="1" t="s">
        <v>154</v>
      </c>
      <c r="F53" s="1" t="s">
        <v>271</v>
      </c>
      <c r="G53" s="1" t="s">
        <v>272</v>
      </c>
      <c r="H53" s="1" t="s">
        <v>244</v>
      </c>
      <c r="I53" s="1" t="s">
        <v>145</v>
      </c>
      <c r="J53" s="1" t="n">
        <v>92805</v>
      </c>
      <c r="K53" s="1" t="n">
        <v>0</v>
      </c>
      <c r="M53" s="1" t="s">
        <v>273</v>
      </c>
      <c r="N53" s="1" t="s">
        <v>274</v>
      </c>
      <c r="O53" s="1" t="s">
        <v>200</v>
      </c>
      <c r="Q53" s="1" t="s">
        <v>220</v>
      </c>
      <c r="R53" s="1" t="s">
        <v>110</v>
      </c>
      <c r="S53" s="6" t="n">
        <v>700000000000000</v>
      </c>
      <c r="T53" s="6" t="n">
        <v>36980300000000</v>
      </c>
      <c r="V53" s="1" t="n">
        <v>10095</v>
      </c>
      <c r="W53" s="1" t="n">
        <v>2162</v>
      </c>
      <c r="X53" s="7" t="n">
        <v>0</v>
      </c>
      <c r="Y53" s="7" t="n">
        <v>0.0304930555555556</v>
      </c>
      <c r="Z53" s="1" t="n">
        <v>8.99</v>
      </c>
      <c r="AA53" s="1" t="s">
        <v>114</v>
      </c>
      <c r="AB53" s="7" t="n">
        <v>0</v>
      </c>
      <c r="AC53" s="2" t="n">
        <v>42427</v>
      </c>
      <c r="AD53" s="1" t="s">
        <v>275</v>
      </c>
      <c r="AE53" s="1" t="n">
        <v>35.36</v>
      </c>
      <c r="AF53" s="1" t="s">
        <v>115</v>
      </c>
      <c r="AG53" s="1" t="s">
        <v>78</v>
      </c>
      <c r="AH53" s="1" t="s">
        <v>79</v>
      </c>
      <c r="AI53" s="1" t="s">
        <v>86</v>
      </c>
      <c r="AJ53" s="1" t="s">
        <v>103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1</v>
      </c>
      <c r="AV53" s="1" t="n">
        <v>0</v>
      </c>
      <c r="AW53" s="1" t="n">
        <v>1</v>
      </c>
      <c r="AX53" s="1" t="n">
        <v>1</v>
      </c>
      <c r="AY53" s="1" t="n">
        <v>0</v>
      </c>
      <c r="AZ53" s="1" t="n">
        <v>0</v>
      </c>
      <c r="BA53" s="1" t="n">
        <v>1</v>
      </c>
      <c r="BB53" s="1" t="n">
        <v>0</v>
      </c>
      <c r="BC53" s="1" t="n">
        <v>0</v>
      </c>
      <c r="BD53" s="1" t="n">
        <v>0</v>
      </c>
      <c r="BE53" s="1" t="n">
        <v>1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</row>
    <row r="54" customFormat="false" ht="16.15" hidden="false" customHeight="false" outlineLevel="0" collapsed="false">
      <c r="A54" s="0" t="str">
        <f aca="false">_xlfn.CONCAT(E54, " ", D54)</f>
        <v>Mrs. Kristin Mendoza </v>
      </c>
      <c r="B54" s="0" t="str">
        <f aca="false">LEFT(D54, SEARCH(" ",D54,1))</f>
        <v>Kristin </v>
      </c>
      <c r="C54" s="5" t="str">
        <f aca="false">RIGHT(D54,LEN(D54)-SEARCH(" ",D54,1))</f>
        <v>Mendoza </v>
      </c>
      <c r="D54" s="1" t="s">
        <v>270</v>
      </c>
      <c r="E54" s="1" t="s">
        <v>154</v>
      </c>
      <c r="F54" s="1" t="s">
        <v>271</v>
      </c>
      <c r="G54" s="1" t="s">
        <v>272</v>
      </c>
      <c r="H54" s="1" t="s">
        <v>244</v>
      </c>
      <c r="I54" s="1" t="s">
        <v>145</v>
      </c>
      <c r="J54" s="1" t="n">
        <v>92805</v>
      </c>
      <c r="K54" s="1" t="n">
        <v>0</v>
      </c>
      <c r="M54" s="1" t="s">
        <v>273</v>
      </c>
      <c r="N54" s="1" t="s">
        <v>274</v>
      </c>
      <c r="O54" s="1" t="s">
        <v>200</v>
      </c>
      <c r="Q54" s="1" t="s">
        <v>220</v>
      </c>
      <c r="R54" s="1" t="s">
        <v>110</v>
      </c>
      <c r="S54" s="6" t="n">
        <v>700000000000000</v>
      </c>
      <c r="T54" s="6" t="n">
        <v>36944300000000</v>
      </c>
      <c r="V54" s="1" t="n">
        <v>10095</v>
      </c>
      <c r="W54" s="1" t="n">
        <v>3305</v>
      </c>
      <c r="X54" s="7" t="n">
        <v>0</v>
      </c>
      <c r="Y54" s="7" t="n">
        <v>0.0193935185185185</v>
      </c>
      <c r="Z54" s="1" t="n">
        <v>33.99</v>
      </c>
      <c r="AA54" s="1" t="s">
        <v>276</v>
      </c>
      <c r="AB54" s="7" t="n">
        <v>0</v>
      </c>
      <c r="AC54" s="2" t="n">
        <v>42649</v>
      </c>
      <c r="AD54" s="1" t="s">
        <v>275</v>
      </c>
      <c r="AE54" s="1" t="n">
        <v>24.92</v>
      </c>
      <c r="AF54" s="1" t="s">
        <v>77</v>
      </c>
      <c r="AG54" s="1" t="s">
        <v>78</v>
      </c>
      <c r="AH54" s="1" t="s">
        <v>79</v>
      </c>
      <c r="AI54" s="1" t="s">
        <v>86</v>
      </c>
      <c r="AJ54" s="1" t="s">
        <v>103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1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</row>
    <row r="55" customFormat="false" ht="16.15" hidden="false" customHeight="false" outlineLevel="0" collapsed="false">
      <c r="A55" s="0" t="str">
        <f aca="false">_xlfn.CONCAT(E55, " ", D55)</f>
        <v>Mrs. Kristin Mendoza </v>
      </c>
      <c r="B55" s="0" t="str">
        <f aca="false">LEFT(D55, SEARCH(" ",D55,1))</f>
        <v>Kristin </v>
      </c>
      <c r="C55" s="5" t="str">
        <f aca="false">RIGHT(D55,LEN(D55)-SEARCH(" ",D55,1))</f>
        <v>Mendoza </v>
      </c>
      <c r="D55" s="1" t="s">
        <v>270</v>
      </c>
      <c r="E55" s="1" t="s">
        <v>154</v>
      </c>
      <c r="F55" s="1" t="s">
        <v>271</v>
      </c>
      <c r="G55" s="1" t="s">
        <v>272</v>
      </c>
      <c r="H55" s="1" t="s">
        <v>244</v>
      </c>
      <c r="I55" s="1" t="s">
        <v>145</v>
      </c>
      <c r="J55" s="1" t="n">
        <v>92805</v>
      </c>
      <c r="K55" s="1" t="n">
        <v>0</v>
      </c>
      <c r="M55" s="1" t="s">
        <v>273</v>
      </c>
      <c r="N55" s="1" t="s">
        <v>274</v>
      </c>
      <c r="O55" s="1" t="s">
        <v>200</v>
      </c>
      <c r="Q55" s="1" t="s">
        <v>220</v>
      </c>
      <c r="R55" s="1" t="s">
        <v>110</v>
      </c>
      <c r="S55" s="6" t="n">
        <v>700000000000000</v>
      </c>
      <c r="T55" s="6" t="n">
        <v>36624200000000</v>
      </c>
      <c r="V55" s="1" t="n">
        <v>10095</v>
      </c>
      <c r="W55" s="1" t="n">
        <v>3967</v>
      </c>
      <c r="X55" s="7" t="n">
        <v>0</v>
      </c>
      <c r="Y55" s="7" t="n">
        <v>0.0304930555555556</v>
      </c>
      <c r="Z55" s="1" t="n">
        <v>11.88</v>
      </c>
      <c r="AA55" s="1" t="s">
        <v>277</v>
      </c>
      <c r="AB55" s="7" t="n">
        <v>0</v>
      </c>
      <c r="AC55" s="2" t="n">
        <v>42716</v>
      </c>
      <c r="AD55" s="1" t="s">
        <v>275</v>
      </c>
      <c r="AE55" s="1" t="n">
        <v>281.82</v>
      </c>
      <c r="AF55" s="1" t="s">
        <v>77</v>
      </c>
      <c r="AG55" s="1" t="s">
        <v>78</v>
      </c>
      <c r="AH55" s="1" t="s">
        <v>79</v>
      </c>
      <c r="AI55" s="1" t="s">
        <v>102</v>
      </c>
      <c r="AJ55" s="1" t="s">
        <v>103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1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1</v>
      </c>
      <c r="BC55" s="1" t="n">
        <v>1</v>
      </c>
      <c r="BD55" s="1" t="n">
        <v>0</v>
      </c>
      <c r="BE55" s="1" t="n">
        <v>0</v>
      </c>
      <c r="BF55" s="1" t="n">
        <v>1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1</v>
      </c>
      <c r="BM55" s="1" t="n">
        <v>0</v>
      </c>
    </row>
    <row r="56" customFormat="false" ht="16.15" hidden="false" customHeight="false" outlineLevel="0" collapsed="false">
      <c r="A56" s="0" t="str">
        <f aca="false">_xlfn.CONCAT(E56, " ", D56)</f>
        <v>Mrs. Kristin Mendoza </v>
      </c>
      <c r="B56" s="0" t="str">
        <f aca="false">LEFT(D56, SEARCH(" ",D56,1))</f>
        <v>Kristin </v>
      </c>
      <c r="C56" s="5" t="str">
        <f aca="false">RIGHT(D56,LEN(D56)-SEARCH(" ",D56,1))</f>
        <v>Mendoza </v>
      </c>
      <c r="D56" s="1" t="s">
        <v>270</v>
      </c>
      <c r="E56" s="1" t="s">
        <v>154</v>
      </c>
      <c r="F56" s="1" t="s">
        <v>271</v>
      </c>
      <c r="G56" s="1" t="s">
        <v>272</v>
      </c>
      <c r="H56" s="1" t="s">
        <v>244</v>
      </c>
      <c r="I56" s="1" t="s">
        <v>145</v>
      </c>
      <c r="J56" s="1" t="n">
        <v>92805</v>
      </c>
      <c r="K56" s="1" t="n">
        <v>0</v>
      </c>
      <c r="M56" s="1" t="s">
        <v>273</v>
      </c>
      <c r="N56" s="1" t="s">
        <v>274</v>
      </c>
      <c r="O56" s="1" t="s">
        <v>200</v>
      </c>
      <c r="Q56" s="1" t="s">
        <v>220</v>
      </c>
      <c r="R56" s="1" t="s">
        <v>110</v>
      </c>
      <c r="S56" s="6" t="n">
        <v>700000000000000</v>
      </c>
      <c r="T56" s="6" t="n">
        <v>36309200000000</v>
      </c>
      <c r="V56" s="1" t="n">
        <v>10095</v>
      </c>
      <c r="W56" s="1" t="n">
        <v>4382</v>
      </c>
      <c r="X56" s="7" t="n">
        <v>0</v>
      </c>
      <c r="Y56" s="7" t="n">
        <v>0.0202106481481481</v>
      </c>
      <c r="Z56" s="1" t="n">
        <v>19.85</v>
      </c>
      <c r="AA56" s="1" t="s">
        <v>139</v>
      </c>
      <c r="AB56" s="7" t="n">
        <v>0</v>
      </c>
      <c r="AC56" s="2" t="n">
        <v>42574</v>
      </c>
      <c r="AD56" s="1" t="s">
        <v>275</v>
      </c>
      <c r="AE56" s="1" t="n">
        <v>6.33</v>
      </c>
      <c r="AF56" s="1" t="s">
        <v>115</v>
      </c>
      <c r="AG56" s="1" t="s">
        <v>78</v>
      </c>
      <c r="AH56" s="1" t="s">
        <v>79</v>
      </c>
      <c r="AI56" s="1" t="s">
        <v>86</v>
      </c>
      <c r="AJ56" s="1" t="s">
        <v>103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1</v>
      </c>
      <c r="AV56" s="1" t="n">
        <v>0</v>
      </c>
      <c r="AW56" s="1" t="n">
        <v>1</v>
      </c>
      <c r="AX56" s="1" t="n">
        <v>0</v>
      </c>
      <c r="AY56" s="1" t="n">
        <v>0</v>
      </c>
      <c r="AZ56" s="1" t="n">
        <v>0</v>
      </c>
      <c r="BA56" s="1" t="n">
        <v>1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</row>
    <row r="57" customFormat="false" ht="16.15" hidden="false" customHeight="false" outlineLevel="0" collapsed="false">
      <c r="A57" s="0" t="str">
        <f aca="false">_xlfn.CONCAT(E57, " ", D57)</f>
        <v>Mrs. Kristin Mendoza </v>
      </c>
      <c r="B57" s="0" t="str">
        <f aca="false">LEFT(D57, SEARCH(" ",D57,1))</f>
        <v>Kristin </v>
      </c>
      <c r="C57" s="5" t="str">
        <f aca="false">RIGHT(D57,LEN(D57)-SEARCH(" ",D57,1))</f>
        <v>Mendoza </v>
      </c>
      <c r="D57" s="1" t="s">
        <v>270</v>
      </c>
      <c r="E57" s="1" t="s">
        <v>154</v>
      </c>
      <c r="F57" s="1" t="s">
        <v>271</v>
      </c>
      <c r="G57" s="1" t="s">
        <v>272</v>
      </c>
      <c r="H57" s="1" t="s">
        <v>244</v>
      </c>
      <c r="I57" s="1" t="s">
        <v>145</v>
      </c>
      <c r="J57" s="1" t="n">
        <v>92805</v>
      </c>
      <c r="K57" s="1" t="n">
        <v>0</v>
      </c>
      <c r="M57" s="1" t="s">
        <v>273</v>
      </c>
      <c r="N57" s="1" t="s">
        <v>274</v>
      </c>
      <c r="O57" s="1" t="s">
        <v>200</v>
      </c>
      <c r="Q57" s="1" t="s">
        <v>220</v>
      </c>
      <c r="R57" s="1" t="s">
        <v>110</v>
      </c>
      <c r="S57" s="6" t="n">
        <v>700000000000000</v>
      </c>
      <c r="T57" s="6" t="n">
        <v>36522500000000</v>
      </c>
      <c r="V57" s="1" t="n">
        <v>10095</v>
      </c>
      <c r="W57" s="1" t="n">
        <v>6009</v>
      </c>
      <c r="X57" s="7" t="n">
        <v>0</v>
      </c>
      <c r="Y57" s="7" t="n">
        <v>0.00528240740740741</v>
      </c>
      <c r="Z57" s="1" t="n">
        <v>18.99</v>
      </c>
      <c r="AA57" s="1" t="s">
        <v>89</v>
      </c>
      <c r="AB57" s="7" t="n">
        <v>0</v>
      </c>
      <c r="AC57" s="2" t="n">
        <v>42372</v>
      </c>
      <c r="AD57" s="1" t="s">
        <v>275</v>
      </c>
      <c r="AE57" s="1" t="n">
        <v>97.72</v>
      </c>
      <c r="AF57" s="1" t="s">
        <v>77</v>
      </c>
      <c r="AG57" s="1" t="s">
        <v>78</v>
      </c>
      <c r="AH57" s="1" t="s">
        <v>79</v>
      </c>
      <c r="AI57" s="1" t="s">
        <v>80</v>
      </c>
      <c r="AJ57" s="1" t="s">
        <v>103</v>
      </c>
      <c r="AK57" s="1" t="n">
        <v>0</v>
      </c>
      <c r="AL57" s="1" t="n">
        <v>1</v>
      </c>
      <c r="AM57" s="1" t="n">
        <v>1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1</v>
      </c>
      <c r="AS57" s="1" t="n">
        <v>1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1</v>
      </c>
      <c r="BJ57" s="1" t="n">
        <v>0</v>
      </c>
      <c r="BK57" s="1" t="n">
        <v>0</v>
      </c>
      <c r="BL57" s="1" t="n">
        <v>0</v>
      </c>
      <c r="BM57" s="1" t="n">
        <v>0</v>
      </c>
    </row>
    <row r="58" customFormat="false" ht="16.15" hidden="false" customHeight="false" outlineLevel="0" collapsed="false">
      <c r="A58" s="0" t="str">
        <f aca="false">_xlfn.CONCAT(E58, " ", D58)</f>
        <v>Mr. Michael Gordon </v>
      </c>
      <c r="B58" s="0" t="str">
        <f aca="false">LEFT(D58, SEARCH(" ",D58,1))</f>
        <v>Michael </v>
      </c>
      <c r="C58" s="5" t="str">
        <f aca="false">RIGHT(D58,LEN(D58)-SEARCH(" ",D58,1))</f>
        <v>Gordon </v>
      </c>
      <c r="D58" s="1" t="s">
        <v>278</v>
      </c>
      <c r="E58" s="1" t="s">
        <v>66</v>
      </c>
      <c r="F58" s="1" t="s">
        <v>279</v>
      </c>
      <c r="G58" s="1" t="s">
        <v>280</v>
      </c>
      <c r="H58" s="1" t="s">
        <v>281</v>
      </c>
      <c r="I58" s="1" t="s">
        <v>70</v>
      </c>
      <c r="J58" s="1" t="n">
        <v>60123</v>
      </c>
      <c r="K58" s="1" t="n">
        <v>0</v>
      </c>
      <c r="M58" s="1" t="s">
        <v>282</v>
      </c>
      <c r="N58" s="1" t="s">
        <v>283</v>
      </c>
      <c r="O58" s="1" t="s">
        <v>200</v>
      </c>
      <c r="Q58" s="1" t="s">
        <v>74</v>
      </c>
      <c r="R58" s="1" t="s">
        <v>75</v>
      </c>
      <c r="S58" s="1" t="n">
        <v>316290001</v>
      </c>
      <c r="T58" s="6" t="n">
        <v>36205100000000</v>
      </c>
      <c r="V58" s="1" t="n">
        <v>10099</v>
      </c>
      <c r="W58" s="1" t="n">
        <v>5481</v>
      </c>
      <c r="X58" s="7" t="n">
        <v>0</v>
      </c>
      <c r="Y58" s="7" t="n">
        <v>0.00794328703703704</v>
      </c>
      <c r="Z58" s="1" t="n">
        <v>8.99</v>
      </c>
      <c r="AA58" s="1" t="s">
        <v>74</v>
      </c>
      <c r="AB58" s="7" t="n">
        <v>0</v>
      </c>
      <c r="AC58" s="2" t="n">
        <v>42541</v>
      </c>
      <c r="AD58" s="1" t="n">
        <v>63</v>
      </c>
      <c r="AE58" s="1" t="n">
        <v>33.34</v>
      </c>
      <c r="AF58" s="1" t="s">
        <v>77</v>
      </c>
      <c r="AG58" s="1" t="s">
        <v>78</v>
      </c>
      <c r="AH58" s="1" t="s">
        <v>112</v>
      </c>
      <c r="AI58" s="1" t="s">
        <v>86</v>
      </c>
      <c r="AJ58" s="1" t="s">
        <v>113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1</v>
      </c>
      <c r="AV58" s="1" t="n">
        <v>0</v>
      </c>
      <c r="AW58" s="1" t="n">
        <v>1</v>
      </c>
      <c r="AX58" s="1" t="n">
        <v>0</v>
      </c>
      <c r="AY58" s="1" t="n">
        <v>0</v>
      </c>
      <c r="AZ58" s="1" t="n">
        <v>0</v>
      </c>
      <c r="BA58" s="1" t="n">
        <v>1</v>
      </c>
      <c r="BB58" s="1" t="n">
        <v>0</v>
      </c>
      <c r="BC58" s="1" t="n">
        <v>0</v>
      </c>
      <c r="BD58" s="1" t="n">
        <v>0</v>
      </c>
      <c r="BE58" s="1" t="n">
        <v>1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</row>
    <row r="59" customFormat="false" ht="16.15" hidden="false" customHeight="false" outlineLevel="0" collapsed="false">
      <c r="A59" s="0" t="str">
        <f aca="false">_xlfn.CONCAT(E59, " ", D59)</f>
        <v>Mrs. Phyllis White </v>
      </c>
      <c r="B59" s="0" t="str">
        <f aca="false">LEFT(D59, SEARCH(" ",D59,1))</f>
        <v>Phyllis </v>
      </c>
      <c r="C59" s="5" t="str">
        <f aca="false">RIGHT(D59,LEN(D59)-SEARCH(" ",D59,1))</f>
        <v>White </v>
      </c>
      <c r="D59" s="1" t="s">
        <v>284</v>
      </c>
      <c r="E59" s="1" t="s">
        <v>154</v>
      </c>
      <c r="F59" s="1" t="s">
        <v>285</v>
      </c>
      <c r="G59" s="1" t="s">
        <v>286</v>
      </c>
      <c r="H59" s="1" t="s">
        <v>287</v>
      </c>
      <c r="I59" s="1" t="s">
        <v>288</v>
      </c>
      <c r="J59" s="1" t="n">
        <v>5255</v>
      </c>
      <c r="K59" s="1" t="n">
        <v>0</v>
      </c>
      <c r="M59" s="1" t="s">
        <v>289</v>
      </c>
      <c r="N59" s="1" t="s">
        <v>290</v>
      </c>
      <c r="O59" s="1" t="s">
        <v>148</v>
      </c>
      <c r="Q59" s="1" t="s">
        <v>291</v>
      </c>
      <c r="R59" s="1" t="s">
        <v>70</v>
      </c>
      <c r="S59" s="1" t="s">
        <v>292</v>
      </c>
      <c r="T59" s="6" t="n">
        <v>377663000000000</v>
      </c>
      <c r="V59" s="1" t="n">
        <v>10103</v>
      </c>
      <c r="W59" s="1" t="n">
        <v>2118</v>
      </c>
      <c r="X59" s="7" t="n">
        <v>0</v>
      </c>
      <c r="Y59" s="7" t="n">
        <v>0.0304930555555556</v>
      </c>
      <c r="Z59" s="1" t="n">
        <v>1.49</v>
      </c>
      <c r="AA59" s="1" t="s">
        <v>204</v>
      </c>
      <c r="AB59" s="7" t="n">
        <v>0</v>
      </c>
      <c r="AC59" s="2" t="n">
        <v>42670</v>
      </c>
      <c r="AD59" s="1" t="n">
        <v>51</v>
      </c>
      <c r="AE59" s="1" t="n">
        <v>34.95</v>
      </c>
      <c r="AF59" s="1" t="s">
        <v>77</v>
      </c>
      <c r="AG59" s="1" t="s">
        <v>78</v>
      </c>
      <c r="AH59" s="1" t="s">
        <v>112</v>
      </c>
      <c r="AI59" s="1" t="s">
        <v>86</v>
      </c>
      <c r="AJ59" s="1" t="s">
        <v>152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1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</row>
    <row r="60" customFormat="false" ht="16.15" hidden="false" customHeight="false" outlineLevel="0" collapsed="false">
      <c r="A60" s="0" t="str">
        <f aca="false">_xlfn.CONCAT(E60, " ", D60)</f>
        <v>Mrs. Phyllis White </v>
      </c>
      <c r="B60" s="0" t="str">
        <f aca="false">LEFT(D60, SEARCH(" ",D60,1))</f>
        <v>Phyllis </v>
      </c>
      <c r="C60" s="5" t="str">
        <f aca="false">RIGHT(D60,LEN(D60)-SEARCH(" ",D60,1))</f>
        <v>White </v>
      </c>
      <c r="D60" s="1" t="s">
        <v>284</v>
      </c>
      <c r="E60" s="1" t="s">
        <v>154</v>
      </c>
      <c r="F60" s="1" t="s">
        <v>285</v>
      </c>
      <c r="G60" s="1" t="s">
        <v>286</v>
      </c>
      <c r="H60" s="1" t="s">
        <v>287</v>
      </c>
      <c r="I60" s="1" t="s">
        <v>288</v>
      </c>
      <c r="J60" s="1" t="n">
        <v>5255</v>
      </c>
      <c r="K60" s="1" t="n">
        <v>0</v>
      </c>
      <c r="M60" s="1" t="s">
        <v>289</v>
      </c>
      <c r="N60" s="1" t="s">
        <v>290</v>
      </c>
      <c r="O60" s="1" t="s">
        <v>148</v>
      </c>
      <c r="Q60" s="1" t="s">
        <v>291</v>
      </c>
      <c r="R60" s="1" t="s">
        <v>70</v>
      </c>
      <c r="S60" s="1" t="s">
        <v>292</v>
      </c>
      <c r="T60" s="6" t="n">
        <v>371632000000000</v>
      </c>
      <c r="V60" s="1" t="n">
        <v>10103</v>
      </c>
      <c r="W60" s="1" t="n">
        <v>3746</v>
      </c>
      <c r="X60" s="7" t="n">
        <v>0</v>
      </c>
      <c r="Y60" s="7" t="n">
        <v>0.0193935185185185</v>
      </c>
      <c r="Z60" s="1" t="n">
        <v>6.37</v>
      </c>
      <c r="AA60" s="1" t="s">
        <v>276</v>
      </c>
      <c r="AB60" s="7" t="n">
        <v>0</v>
      </c>
      <c r="AC60" s="2" t="n">
        <v>42649</v>
      </c>
      <c r="AD60" s="1" t="n">
        <v>51</v>
      </c>
      <c r="AE60" s="1" t="n">
        <v>10.85</v>
      </c>
      <c r="AF60" s="1" t="s">
        <v>77</v>
      </c>
      <c r="AG60" s="1" t="s">
        <v>78</v>
      </c>
      <c r="AH60" s="1" t="s">
        <v>112</v>
      </c>
      <c r="AI60" s="1" t="s">
        <v>86</v>
      </c>
      <c r="AJ60" s="1" t="s">
        <v>152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1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</row>
    <row r="61" customFormat="false" ht="16.15" hidden="false" customHeight="false" outlineLevel="0" collapsed="false">
      <c r="A61" s="0" t="str">
        <f aca="false">_xlfn.CONCAT(E61, " ", D61)</f>
        <v>Mrs. Phyllis White </v>
      </c>
      <c r="B61" s="0" t="str">
        <f aca="false">LEFT(D61, SEARCH(" ",D61,1))</f>
        <v>Phyllis </v>
      </c>
      <c r="C61" s="5" t="str">
        <f aca="false">RIGHT(D61,LEN(D61)-SEARCH(" ",D61,1))</f>
        <v>White </v>
      </c>
      <c r="D61" s="1" t="s">
        <v>284</v>
      </c>
      <c r="E61" s="1" t="s">
        <v>154</v>
      </c>
      <c r="F61" s="1" t="s">
        <v>285</v>
      </c>
      <c r="G61" s="1" t="s">
        <v>286</v>
      </c>
      <c r="H61" s="1" t="s">
        <v>287</v>
      </c>
      <c r="I61" s="1" t="s">
        <v>288</v>
      </c>
      <c r="J61" s="1" t="n">
        <v>5255</v>
      </c>
      <c r="K61" s="1" t="n">
        <v>0</v>
      </c>
      <c r="M61" s="1" t="s">
        <v>289</v>
      </c>
      <c r="N61" s="1" t="s">
        <v>290</v>
      </c>
      <c r="O61" s="1" t="s">
        <v>148</v>
      </c>
      <c r="Q61" s="1" t="s">
        <v>291</v>
      </c>
      <c r="R61" s="1" t="s">
        <v>70</v>
      </c>
      <c r="S61" s="1" t="s">
        <v>292</v>
      </c>
      <c r="T61" s="6" t="n">
        <v>347760000000000</v>
      </c>
      <c r="V61" s="1" t="n">
        <v>10103</v>
      </c>
      <c r="W61" s="1" t="n">
        <v>4425</v>
      </c>
      <c r="X61" s="7" t="n">
        <v>0</v>
      </c>
      <c r="Y61" s="7" t="n">
        <v>0.0238032407407407</v>
      </c>
      <c r="Z61" s="1" t="n">
        <v>2.87</v>
      </c>
      <c r="AA61" s="1" t="s">
        <v>293</v>
      </c>
      <c r="AB61" s="7" t="n">
        <v>0</v>
      </c>
      <c r="AC61" s="2" t="n">
        <v>42724</v>
      </c>
      <c r="AD61" s="1" t="n">
        <v>51</v>
      </c>
      <c r="AE61" s="1" t="n">
        <v>20.89</v>
      </c>
      <c r="AF61" s="1" t="s">
        <v>77</v>
      </c>
      <c r="AG61" s="1" t="s">
        <v>78</v>
      </c>
      <c r="AH61" s="1" t="s">
        <v>112</v>
      </c>
      <c r="AI61" s="1" t="s">
        <v>86</v>
      </c>
      <c r="AJ61" s="1" t="s">
        <v>152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1</v>
      </c>
      <c r="AV61" s="1" t="n">
        <v>0</v>
      </c>
      <c r="AW61" s="1" t="n">
        <v>1</v>
      </c>
      <c r="AX61" s="1" t="n">
        <v>1</v>
      </c>
      <c r="AY61" s="1" t="n">
        <v>0</v>
      </c>
      <c r="AZ61" s="1" t="n">
        <v>0</v>
      </c>
      <c r="BA61" s="1" t="n">
        <v>1</v>
      </c>
      <c r="BB61" s="1" t="n">
        <v>0</v>
      </c>
      <c r="BC61" s="1" t="n">
        <v>0</v>
      </c>
      <c r="BD61" s="1" t="n">
        <v>0</v>
      </c>
      <c r="BE61" s="1" t="n">
        <v>1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</row>
    <row r="62" customFormat="false" ht="16.15" hidden="false" customHeight="false" outlineLevel="0" collapsed="false">
      <c r="A62" s="0" t="str">
        <f aca="false">_xlfn.CONCAT(E62, " ", D62)</f>
        <v>Mrs. Phyllis White </v>
      </c>
      <c r="B62" s="0" t="str">
        <f aca="false">LEFT(D62, SEARCH(" ",D62,1))</f>
        <v>Phyllis </v>
      </c>
      <c r="C62" s="5" t="str">
        <f aca="false">RIGHT(D62,LEN(D62)-SEARCH(" ",D62,1))</f>
        <v>White </v>
      </c>
      <c r="D62" s="1" t="s">
        <v>284</v>
      </c>
      <c r="E62" s="1" t="s">
        <v>154</v>
      </c>
      <c r="F62" s="1" t="s">
        <v>285</v>
      </c>
      <c r="G62" s="1" t="s">
        <v>286</v>
      </c>
      <c r="H62" s="1" t="s">
        <v>287</v>
      </c>
      <c r="I62" s="1" t="s">
        <v>288</v>
      </c>
      <c r="J62" s="1" t="n">
        <v>5255</v>
      </c>
      <c r="K62" s="1" t="n">
        <v>0</v>
      </c>
      <c r="M62" s="1" t="s">
        <v>289</v>
      </c>
      <c r="N62" s="1" t="s">
        <v>290</v>
      </c>
      <c r="O62" s="1" t="s">
        <v>148</v>
      </c>
      <c r="Q62" s="1" t="s">
        <v>291</v>
      </c>
      <c r="R62" s="1" t="s">
        <v>70</v>
      </c>
      <c r="S62" s="1" t="s">
        <v>292</v>
      </c>
      <c r="T62" s="6" t="n">
        <v>345633000000000</v>
      </c>
      <c r="V62" s="1" t="n">
        <v>10103</v>
      </c>
      <c r="W62" s="1" t="n">
        <v>4942</v>
      </c>
      <c r="X62" s="7" t="n">
        <v>0.0329282407407407</v>
      </c>
      <c r="Y62" s="7" t="n">
        <v>0.0329328703703704</v>
      </c>
      <c r="Z62" s="1" t="n">
        <v>18.45</v>
      </c>
      <c r="AA62" s="1" t="s">
        <v>294</v>
      </c>
      <c r="AB62" s="7" t="n">
        <v>0.0329282407407407</v>
      </c>
      <c r="AC62" s="2" t="n">
        <v>42498</v>
      </c>
      <c r="AD62" s="1" t="n">
        <v>51</v>
      </c>
      <c r="AE62" s="1" t="n">
        <v>33.7</v>
      </c>
      <c r="AF62" s="1" t="s">
        <v>129</v>
      </c>
      <c r="AG62" s="1" t="s">
        <v>78</v>
      </c>
      <c r="AH62" s="1" t="s">
        <v>112</v>
      </c>
      <c r="AI62" s="1" t="s">
        <v>86</v>
      </c>
      <c r="AJ62" s="1" t="s">
        <v>152</v>
      </c>
      <c r="AK62" s="1" t="n">
        <v>1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</row>
    <row r="63" customFormat="false" ht="16.15" hidden="false" customHeight="false" outlineLevel="0" collapsed="false">
      <c r="A63" s="0" t="str">
        <f aca="false">_xlfn.CONCAT(E63, " ", D63)</f>
        <v>Mrs. Katherine Mullins </v>
      </c>
      <c r="B63" s="0" t="str">
        <f aca="false">LEFT(D63, SEARCH(" ",D63,1))</f>
        <v>Katherine </v>
      </c>
      <c r="C63" s="5" t="str">
        <f aca="false">RIGHT(D63,LEN(D63)-SEARCH(" ",D63,1))</f>
        <v>Mullins </v>
      </c>
      <c r="D63" s="1" t="s">
        <v>295</v>
      </c>
      <c r="E63" s="1" t="s">
        <v>154</v>
      </c>
      <c r="F63" s="1" t="s">
        <v>296</v>
      </c>
      <c r="G63" s="1" t="s">
        <v>297</v>
      </c>
      <c r="H63" s="1" t="s">
        <v>244</v>
      </c>
      <c r="I63" s="1" t="s">
        <v>145</v>
      </c>
      <c r="J63" s="1" t="n">
        <v>94508</v>
      </c>
      <c r="K63" s="1" t="n">
        <v>0</v>
      </c>
      <c r="M63" s="1" t="s">
        <v>298</v>
      </c>
      <c r="N63" s="1" t="s">
        <v>299</v>
      </c>
      <c r="O63" s="1" t="s">
        <v>200</v>
      </c>
      <c r="Q63" s="1" t="s">
        <v>191</v>
      </c>
      <c r="R63" s="1" t="s">
        <v>121</v>
      </c>
      <c r="S63" s="1" t="s">
        <v>300</v>
      </c>
      <c r="T63" s="6" t="n">
        <v>36025400000000</v>
      </c>
      <c r="V63" s="1" t="n">
        <v>10107</v>
      </c>
      <c r="W63" s="1" t="n">
        <v>825</v>
      </c>
      <c r="X63" s="7" t="n">
        <v>0</v>
      </c>
      <c r="Y63" s="7" t="n">
        <v>0.0410439814814815</v>
      </c>
      <c r="Z63" s="1" t="n">
        <v>6.38</v>
      </c>
      <c r="AA63" s="1" t="s">
        <v>97</v>
      </c>
      <c r="AB63" s="7" t="n">
        <v>0</v>
      </c>
      <c r="AC63" s="2" t="n">
        <v>42548</v>
      </c>
      <c r="AD63" s="1" t="n">
        <v>64</v>
      </c>
      <c r="AE63" s="1" t="n">
        <v>16.56</v>
      </c>
      <c r="AF63" s="1" t="s">
        <v>77</v>
      </c>
      <c r="AG63" s="1" t="s">
        <v>78</v>
      </c>
      <c r="AH63" s="1" t="s">
        <v>112</v>
      </c>
      <c r="AI63" s="1" t="s">
        <v>86</v>
      </c>
      <c r="AJ63" s="1" t="s">
        <v>113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1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</row>
    <row r="64" customFormat="false" ht="16.15" hidden="false" customHeight="false" outlineLevel="0" collapsed="false">
      <c r="A64" s="0" t="str">
        <f aca="false">_xlfn.CONCAT(E64, " ", D64)</f>
        <v>Mrs. Katherine Mullins </v>
      </c>
      <c r="B64" s="0" t="str">
        <f aca="false">LEFT(D64, SEARCH(" ",D64,1))</f>
        <v>Katherine </v>
      </c>
      <c r="C64" s="5" t="str">
        <f aca="false">RIGHT(D64,LEN(D64)-SEARCH(" ",D64,1))</f>
        <v>Mullins </v>
      </c>
      <c r="D64" s="1" t="s">
        <v>295</v>
      </c>
      <c r="E64" s="1" t="s">
        <v>154</v>
      </c>
      <c r="F64" s="1" t="s">
        <v>296</v>
      </c>
      <c r="G64" s="1" t="s">
        <v>297</v>
      </c>
      <c r="H64" s="1" t="s">
        <v>244</v>
      </c>
      <c r="I64" s="1" t="s">
        <v>145</v>
      </c>
      <c r="J64" s="1" t="n">
        <v>94508</v>
      </c>
      <c r="K64" s="1" t="n">
        <v>0</v>
      </c>
      <c r="M64" s="1" t="s">
        <v>298</v>
      </c>
      <c r="N64" s="1" t="s">
        <v>299</v>
      </c>
      <c r="O64" s="1" t="s">
        <v>200</v>
      </c>
      <c r="Q64" s="1" t="s">
        <v>191</v>
      </c>
      <c r="R64" s="1" t="s">
        <v>121</v>
      </c>
      <c r="S64" s="1" t="s">
        <v>300</v>
      </c>
      <c r="T64" s="6" t="n">
        <v>36121200000000</v>
      </c>
      <c r="V64" s="1" t="n">
        <v>10107</v>
      </c>
      <c r="W64" s="1" t="n">
        <v>2024</v>
      </c>
      <c r="X64" s="7" t="n">
        <v>0</v>
      </c>
      <c r="Y64" s="7" t="n">
        <v>0.022744212962963</v>
      </c>
      <c r="Z64" s="1" t="n">
        <v>17.87</v>
      </c>
      <c r="AA64" s="1" t="s">
        <v>192</v>
      </c>
      <c r="AB64" s="7" t="n">
        <v>0</v>
      </c>
      <c r="AC64" s="2" t="n">
        <v>42536</v>
      </c>
      <c r="AD64" s="1" t="n">
        <v>64</v>
      </c>
      <c r="AE64" s="1" t="n">
        <v>8.71</v>
      </c>
      <c r="AF64" s="1" t="s">
        <v>115</v>
      </c>
      <c r="AG64" s="1" t="s">
        <v>78</v>
      </c>
      <c r="AH64" s="1" t="s">
        <v>112</v>
      </c>
      <c r="AI64" s="1" t="s">
        <v>86</v>
      </c>
      <c r="AJ64" s="1" t="s">
        <v>113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1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</row>
    <row r="65" customFormat="false" ht="16.15" hidden="false" customHeight="false" outlineLevel="0" collapsed="false">
      <c r="A65" s="0" t="str">
        <f aca="false">_xlfn.CONCAT(E65, " ", D65)</f>
        <v>Mrs. Katherine Mullins </v>
      </c>
      <c r="B65" s="0" t="str">
        <f aca="false">LEFT(D65, SEARCH(" ",D65,1))</f>
        <v>Katherine </v>
      </c>
      <c r="C65" s="5" t="str">
        <f aca="false">RIGHT(D65,LEN(D65)-SEARCH(" ",D65,1))</f>
        <v>Mullins </v>
      </c>
      <c r="D65" s="1" t="s">
        <v>295</v>
      </c>
      <c r="E65" s="1" t="s">
        <v>154</v>
      </c>
      <c r="F65" s="1" t="s">
        <v>296</v>
      </c>
      <c r="G65" s="1" t="s">
        <v>297</v>
      </c>
      <c r="H65" s="1" t="s">
        <v>244</v>
      </c>
      <c r="I65" s="1" t="s">
        <v>145</v>
      </c>
      <c r="J65" s="1" t="n">
        <v>94508</v>
      </c>
      <c r="K65" s="1" t="n">
        <v>0</v>
      </c>
      <c r="M65" s="1" t="s">
        <v>298</v>
      </c>
      <c r="N65" s="1" t="s">
        <v>299</v>
      </c>
      <c r="O65" s="1" t="s">
        <v>200</v>
      </c>
      <c r="Q65" s="1" t="s">
        <v>191</v>
      </c>
      <c r="R65" s="1" t="s">
        <v>121</v>
      </c>
      <c r="S65" s="1" t="s">
        <v>300</v>
      </c>
      <c r="T65" s="6" t="n">
        <v>36818100000000</v>
      </c>
      <c r="V65" s="1" t="n">
        <v>10107</v>
      </c>
      <c r="W65" s="1" t="n">
        <v>2582</v>
      </c>
      <c r="X65" s="7" t="n">
        <v>0</v>
      </c>
      <c r="Y65" s="7" t="n">
        <v>0.0232210648148148</v>
      </c>
      <c r="Z65" s="1" t="n">
        <v>8.99</v>
      </c>
      <c r="AA65" s="1" t="s">
        <v>220</v>
      </c>
      <c r="AB65" s="7" t="n">
        <v>0</v>
      </c>
      <c r="AC65" s="2" t="n">
        <v>42633</v>
      </c>
      <c r="AD65" s="1" t="n">
        <v>64</v>
      </c>
      <c r="AE65" s="1" t="n">
        <v>25.77</v>
      </c>
      <c r="AF65" s="1" t="s">
        <v>77</v>
      </c>
      <c r="AG65" s="1" t="s">
        <v>78</v>
      </c>
      <c r="AH65" s="1" t="s">
        <v>112</v>
      </c>
      <c r="AI65" s="1" t="s">
        <v>86</v>
      </c>
      <c r="AJ65" s="1" t="s">
        <v>113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1</v>
      </c>
      <c r="AV65" s="1" t="n">
        <v>0</v>
      </c>
      <c r="AW65" s="1" t="n">
        <v>1</v>
      </c>
      <c r="AX65" s="1" t="n">
        <v>1</v>
      </c>
      <c r="AY65" s="1" t="n">
        <v>0</v>
      </c>
      <c r="AZ65" s="1" t="n">
        <v>0</v>
      </c>
      <c r="BA65" s="1" t="n">
        <v>1</v>
      </c>
      <c r="BB65" s="1" t="n">
        <v>0</v>
      </c>
      <c r="BC65" s="1" t="n">
        <v>0</v>
      </c>
      <c r="BD65" s="1" t="n">
        <v>0</v>
      </c>
      <c r="BE65" s="1" t="n">
        <v>1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</row>
    <row r="66" customFormat="false" ht="16.15" hidden="false" customHeight="false" outlineLevel="0" collapsed="false">
      <c r="A66" s="0" t="str">
        <f aca="false">_xlfn.CONCAT(E66, " ", D66)</f>
        <v>Mrs. Katherine Mullins </v>
      </c>
      <c r="B66" s="0" t="str">
        <f aca="false">LEFT(D66, SEARCH(" ",D66,1))</f>
        <v>Katherine </v>
      </c>
      <c r="C66" s="5" t="str">
        <f aca="false">RIGHT(D66,LEN(D66)-SEARCH(" ",D66,1))</f>
        <v>Mullins </v>
      </c>
      <c r="D66" s="1" t="s">
        <v>295</v>
      </c>
      <c r="E66" s="1" t="s">
        <v>154</v>
      </c>
      <c r="F66" s="1" t="s">
        <v>296</v>
      </c>
      <c r="G66" s="1" t="s">
        <v>297</v>
      </c>
      <c r="H66" s="1" t="s">
        <v>244</v>
      </c>
      <c r="I66" s="1" t="s">
        <v>145</v>
      </c>
      <c r="J66" s="1" t="n">
        <v>94508</v>
      </c>
      <c r="K66" s="1" t="n">
        <v>0</v>
      </c>
      <c r="M66" s="1" t="s">
        <v>298</v>
      </c>
      <c r="N66" s="1" t="s">
        <v>299</v>
      </c>
      <c r="O66" s="1" t="s">
        <v>200</v>
      </c>
      <c r="Q66" s="1" t="s">
        <v>191</v>
      </c>
      <c r="R66" s="1" t="s">
        <v>121</v>
      </c>
      <c r="S66" s="1" t="s">
        <v>300</v>
      </c>
      <c r="T66" s="6" t="n">
        <v>36634500000000</v>
      </c>
      <c r="V66" s="1" t="n">
        <v>10107</v>
      </c>
      <c r="W66" s="1" t="n">
        <v>7943</v>
      </c>
      <c r="X66" s="7" t="n">
        <v>0</v>
      </c>
      <c r="Y66" s="7" t="n">
        <v>0.0194027777777778</v>
      </c>
      <c r="Z66" s="1" t="n">
        <v>21.97</v>
      </c>
      <c r="AA66" s="1" t="s">
        <v>257</v>
      </c>
      <c r="AB66" s="7" t="n">
        <v>0</v>
      </c>
      <c r="AC66" s="2" t="n">
        <v>42720</v>
      </c>
      <c r="AD66" s="1" t="n">
        <v>64</v>
      </c>
      <c r="AE66" s="1" t="n">
        <v>46.92</v>
      </c>
      <c r="AF66" s="1" t="s">
        <v>77</v>
      </c>
      <c r="AG66" s="1" t="s">
        <v>78</v>
      </c>
      <c r="AH66" s="1" t="s">
        <v>112</v>
      </c>
      <c r="AI66" s="1" t="s">
        <v>86</v>
      </c>
      <c r="AJ66" s="1" t="s">
        <v>113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1</v>
      </c>
      <c r="AV66" s="1" t="n">
        <v>0</v>
      </c>
      <c r="AW66" s="1" t="n">
        <v>1</v>
      </c>
      <c r="AX66" s="1" t="n">
        <v>1</v>
      </c>
      <c r="AY66" s="1" t="n">
        <v>0</v>
      </c>
      <c r="AZ66" s="1" t="n">
        <v>0</v>
      </c>
      <c r="BA66" s="1" t="n">
        <v>1</v>
      </c>
      <c r="BB66" s="1" t="n">
        <v>0</v>
      </c>
      <c r="BC66" s="1" t="n">
        <v>0</v>
      </c>
      <c r="BD66" s="1" t="n">
        <v>0</v>
      </c>
      <c r="BE66" s="1" t="n">
        <v>1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</row>
    <row r="67" customFormat="false" ht="16.15" hidden="false" customHeight="false" outlineLevel="0" collapsed="false">
      <c r="A67" s="0" t="str">
        <f aca="false">_xlfn.CONCAT(E67, " ", D67)</f>
        <v>Mrs. Lisa Guest </v>
      </c>
      <c r="B67" s="0" t="str">
        <f aca="false">LEFT(D67, SEARCH(" ",D67,1))</f>
        <v>Lisa </v>
      </c>
      <c r="C67" s="5" t="str">
        <f aca="false">RIGHT(D67,LEN(D67)-SEARCH(" ",D67,1))</f>
        <v>Guest </v>
      </c>
      <c r="D67" s="1" t="s">
        <v>301</v>
      </c>
      <c r="E67" s="1" t="s">
        <v>154</v>
      </c>
      <c r="F67" s="1" t="s">
        <v>302</v>
      </c>
      <c r="G67" s="1" t="s">
        <v>303</v>
      </c>
      <c r="H67" s="1" t="s">
        <v>304</v>
      </c>
      <c r="I67" s="1" t="s">
        <v>70</v>
      </c>
      <c r="J67" s="1" t="n">
        <v>30020</v>
      </c>
      <c r="K67" s="1" t="n">
        <v>0</v>
      </c>
      <c r="M67" s="1" t="s">
        <v>305</v>
      </c>
      <c r="N67" s="1" t="s">
        <v>306</v>
      </c>
      <c r="O67" s="1" t="s">
        <v>200</v>
      </c>
      <c r="Q67" s="1" t="s">
        <v>307</v>
      </c>
      <c r="R67" s="1" t="s">
        <v>121</v>
      </c>
      <c r="S67" s="1" t="s">
        <v>308</v>
      </c>
      <c r="T67" s="6" t="n">
        <v>36644800000000</v>
      </c>
      <c r="V67" s="1" t="n">
        <v>10111</v>
      </c>
      <c r="W67" s="1" t="n">
        <v>5147</v>
      </c>
      <c r="X67" s="7" t="n">
        <v>0</v>
      </c>
      <c r="Y67" s="7" t="n">
        <v>0.0166041666666667</v>
      </c>
      <c r="Z67" s="1" t="n">
        <v>14.8</v>
      </c>
      <c r="AA67" s="1" t="s">
        <v>309</v>
      </c>
      <c r="AB67" s="7" t="n">
        <v>0</v>
      </c>
      <c r="AC67" s="2" t="n">
        <v>42427</v>
      </c>
      <c r="AD67" s="1" t="n">
        <v>19</v>
      </c>
      <c r="AE67" s="1" t="n">
        <v>22.02</v>
      </c>
      <c r="AF67" s="1" t="s">
        <v>115</v>
      </c>
      <c r="AG67" s="1" t="s">
        <v>78</v>
      </c>
      <c r="AH67" s="1" t="s">
        <v>79</v>
      </c>
      <c r="AI67" s="1" t="s">
        <v>86</v>
      </c>
      <c r="AJ67" s="1" t="s">
        <v>103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1</v>
      </c>
      <c r="AV67" s="1" t="n">
        <v>0</v>
      </c>
      <c r="AW67" s="1" t="n">
        <v>1</v>
      </c>
      <c r="AX67" s="1" t="n">
        <v>1</v>
      </c>
      <c r="AY67" s="1" t="n">
        <v>0</v>
      </c>
      <c r="AZ67" s="1" t="n">
        <v>0</v>
      </c>
      <c r="BA67" s="1" t="n">
        <v>1</v>
      </c>
      <c r="BB67" s="1" t="n">
        <v>0</v>
      </c>
      <c r="BC67" s="1" t="n">
        <v>0</v>
      </c>
      <c r="BD67" s="1" t="n">
        <v>0</v>
      </c>
      <c r="BE67" s="1" t="n">
        <v>1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</row>
    <row r="68" customFormat="false" ht="16.15" hidden="false" customHeight="false" outlineLevel="0" collapsed="false">
      <c r="A68" s="0" t="str">
        <f aca="false">_xlfn.CONCAT(E68, " ", D68)</f>
        <v>Mrs. Lisa Guest </v>
      </c>
      <c r="B68" s="0" t="str">
        <f aca="false">LEFT(D68, SEARCH(" ",D68,1))</f>
        <v>Lisa </v>
      </c>
      <c r="C68" s="5" t="str">
        <f aca="false">RIGHT(D68,LEN(D68)-SEARCH(" ",D68,1))</f>
        <v>Guest </v>
      </c>
      <c r="D68" s="1" t="s">
        <v>301</v>
      </c>
      <c r="E68" s="1" t="s">
        <v>154</v>
      </c>
      <c r="F68" s="1" t="s">
        <v>302</v>
      </c>
      <c r="G68" s="1" t="s">
        <v>303</v>
      </c>
      <c r="H68" s="1" t="s">
        <v>304</v>
      </c>
      <c r="I68" s="1" t="s">
        <v>70</v>
      </c>
      <c r="J68" s="1" t="n">
        <v>30020</v>
      </c>
      <c r="K68" s="1" t="n">
        <v>0</v>
      </c>
      <c r="M68" s="1" t="s">
        <v>305</v>
      </c>
      <c r="N68" s="1" t="s">
        <v>306</v>
      </c>
      <c r="O68" s="1" t="s">
        <v>200</v>
      </c>
      <c r="Q68" s="1" t="s">
        <v>307</v>
      </c>
      <c r="R68" s="1" t="s">
        <v>121</v>
      </c>
      <c r="S68" s="1" t="s">
        <v>308</v>
      </c>
      <c r="T68" s="6" t="n">
        <v>36116700000000</v>
      </c>
      <c r="V68" s="1" t="n">
        <v>10111</v>
      </c>
      <c r="W68" s="1" t="n">
        <v>8444</v>
      </c>
      <c r="X68" s="7" t="n">
        <v>0</v>
      </c>
      <c r="Y68" s="7" t="n">
        <v>0.0413912037037037</v>
      </c>
      <c r="Z68" s="1" t="n">
        <v>17.87</v>
      </c>
      <c r="AA68" s="1" t="s">
        <v>258</v>
      </c>
      <c r="AB68" s="7" t="n">
        <v>0</v>
      </c>
      <c r="AC68" s="2" t="n">
        <v>42731</v>
      </c>
      <c r="AD68" s="1" t="n">
        <v>19</v>
      </c>
      <c r="AE68" s="1" t="n">
        <v>31.3</v>
      </c>
      <c r="AF68" s="1" t="s">
        <v>77</v>
      </c>
      <c r="AG68" s="1" t="s">
        <v>78</v>
      </c>
      <c r="AH68" s="1" t="s">
        <v>79</v>
      </c>
      <c r="AI68" s="1" t="s">
        <v>86</v>
      </c>
      <c r="AJ68" s="1" t="s">
        <v>103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1</v>
      </c>
      <c r="AV68" s="1" t="n">
        <v>0</v>
      </c>
      <c r="AW68" s="1" t="n">
        <v>1</v>
      </c>
      <c r="AX68" s="1" t="n">
        <v>1</v>
      </c>
      <c r="AY68" s="1" t="n">
        <v>0</v>
      </c>
      <c r="AZ68" s="1" t="n">
        <v>0</v>
      </c>
      <c r="BA68" s="1" t="n">
        <v>1</v>
      </c>
      <c r="BB68" s="1" t="n">
        <v>0</v>
      </c>
      <c r="BC68" s="1" t="n">
        <v>0</v>
      </c>
      <c r="BD68" s="1" t="n">
        <v>0</v>
      </c>
      <c r="BE68" s="1" t="n">
        <v>1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</row>
    <row r="69" customFormat="false" ht="16.15" hidden="false" customHeight="false" outlineLevel="0" collapsed="false">
      <c r="A69" s="0" t="str">
        <f aca="false">_xlfn.CONCAT(E69, " ", D69)</f>
        <v>Mr. Scott Lawson </v>
      </c>
      <c r="B69" s="0" t="str">
        <f aca="false">LEFT(D69, SEARCH(" ",D69,1))</f>
        <v>Scott </v>
      </c>
      <c r="C69" s="5" t="str">
        <f aca="false">RIGHT(D69,LEN(D69)-SEARCH(" ",D69,1))</f>
        <v>Lawson </v>
      </c>
      <c r="D69" s="1" t="s">
        <v>310</v>
      </c>
      <c r="E69" s="1" t="s">
        <v>66</v>
      </c>
      <c r="F69" s="1" t="s">
        <v>311</v>
      </c>
      <c r="G69" s="1" t="s">
        <v>312</v>
      </c>
      <c r="H69" s="1" t="s">
        <v>313</v>
      </c>
      <c r="I69" s="1" t="s">
        <v>145</v>
      </c>
      <c r="J69" s="1" t="n">
        <v>60002</v>
      </c>
      <c r="K69" s="1" t="n">
        <v>0</v>
      </c>
      <c r="M69" s="1" t="s">
        <v>314</v>
      </c>
      <c r="N69" s="1" t="s">
        <v>315</v>
      </c>
      <c r="O69" s="1" t="s">
        <v>237</v>
      </c>
      <c r="Q69" s="1" t="s">
        <v>316</v>
      </c>
      <c r="R69" s="1" t="s">
        <v>244</v>
      </c>
      <c r="S69" s="1" t="n">
        <v>518957246</v>
      </c>
      <c r="T69" s="6" t="n">
        <v>3528450000000000</v>
      </c>
      <c r="V69" s="1" t="n">
        <v>10115</v>
      </c>
      <c r="W69" s="1" t="n">
        <v>479</v>
      </c>
      <c r="X69" s="7" t="n">
        <v>0</v>
      </c>
      <c r="Y69" s="7" t="n">
        <v>0.0157013888888889</v>
      </c>
      <c r="Z69" s="1" t="n">
        <v>18.99</v>
      </c>
      <c r="AA69" s="1" t="s">
        <v>210</v>
      </c>
      <c r="AB69" s="7" t="n">
        <v>0</v>
      </c>
      <c r="AC69" s="2" t="n">
        <v>42479</v>
      </c>
      <c r="AD69" s="1" t="s">
        <v>100</v>
      </c>
      <c r="AE69" s="1" t="n">
        <v>7.02</v>
      </c>
      <c r="AF69" s="1" t="s">
        <v>77</v>
      </c>
      <c r="AG69" s="1" t="s">
        <v>85</v>
      </c>
      <c r="AH69" s="1" t="s">
        <v>112</v>
      </c>
      <c r="AI69" s="1" t="s">
        <v>86</v>
      </c>
      <c r="AJ69" s="1" t="s">
        <v>103</v>
      </c>
      <c r="AK69" s="1" t="n">
        <v>1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1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</row>
    <row r="70" customFormat="false" ht="16.15" hidden="false" customHeight="false" outlineLevel="0" collapsed="false">
      <c r="A70" s="0" t="str">
        <f aca="false">_xlfn.CONCAT(E70, " ", D70)</f>
        <v>Mr. Scott Lawson </v>
      </c>
      <c r="B70" s="0" t="str">
        <f aca="false">LEFT(D70, SEARCH(" ",D70,1))</f>
        <v>Scott </v>
      </c>
      <c r="C70" s="5" t="str">
        <f aca="false">RIGHT(D70,LEN(D70)-SEARCH(" ",D70,1))</f>
        <v>Lawson </v>
      </c>
      <c r="D70" s="1" t="s">
        <v>310</v>
      </c>
      <c r="E70" s="1" t="s">
        <v>66</v>
      </c>
      <c r="F70" s="1" t="s">
        <v>311</v>
      </c>
      <c r="G70" s="1" t="s">
        <v>312</v>
      </c>
      <c r="H70" s="1" t="s">
        <v>313</v>
      </c>
      <c r="I70" s="1" t="s">
        <v>145</v>
      </c>
      <c r="J70" s="1" t="n">
        <v>60002</v>
      </c>
      <c r="K70" s="1" t="n">
        <v>0</v>
      </c>
      <c r="M70" s="1" t="s">
        <v>314</v>
      </c>
      <c r="N70" s="1" t="s">
        <v>315</v>
      </c>
      <c r="O70" s="1" t="s">
        <v>237</v>
      </c>
      <c r="Q70" s="1" t="s">
        <v>316</v>
      </c>
      <c r="R70" s="1" t="s">
        <v>244</v>
      </c>
      <c r="S70" s="1" t="n">
        <v>518957246</v>
      </c>
      <c r="T70" s="6" t="n">
        <v>3528250000000000</v>
      </c>
      <c r="V70" s="1" t="n">
        <v>10115</v>
      </c>
      <c r="W70" s="1" t="n">
        <v>1059</v>
      </c>
      <c r="X70" s="7" t="n">
        <v>0.0329282407407407</v>
      </c>
      <c r="Y70" s="7" t="n">
        <v>0.0329328703703704</v>
      </c>
      <c r="Z70" s="1" t="n">
        <v>27.97</v>
      </c>
      <c r="AA70" s="1" t="s">
        <v>317</v>
      </c>
      <c r="AB70" s="7" t="n">
        <v>0.0329282407407407</v>
      </c>
      <c r="AC70" s="2" t="n">
        <v>42498</v>
      </c>
      <c r="AD70" s="1" t="s">
        <v>100</v>
      </c>
      <c r="AE70" s="1" t="n">
        <v>127.03</v>
      </c>
      <c r="AF70" s="1" t="s">
        <v>129</v>
      </c>
      <c r="AG70" s="1" t="s">
        <v>78</v>
      </c>
      <c r="AH70" s="1" t="s">
        <v>112</v>
      </c>
      <c r="AI70" s="1" t="s">
        <v>80</v>
      </c>
      <c r="AJ70" s="1" t="s">
        <v>103</v>
      </c>
      <c r="AK70" s="1" t="n">
        <v>0</v>
      </c>
      <c r="AL70" s="1" t="n">
        <v>0</v>
      </c>
      <c r="AM70" s="1" t="n">
        <v>0</v>
      </c>
      <c r="AN70" s="1" t="n">
        <v>1</v>
      </c>
      <c r="AO70" s="1" t="n">
        <v>1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1</v>
      </c>
      <c r="AV70" s="1" t="n">
        <v>0</v>
      </c>
      <c r="AW70" s="1" t="n">
        <v>0</v>
      </c>
      <c r="AX70" s="1" t="n">
        <v>1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1</v>
      </c>
      <c r="BE70" s="1" t="n">
        <v>1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</row>
    <row r="71" customFormat="false" ht="16.15" hidden="false" customHeight="false" outlineLevel="0" collapsed="false">
      <c r="A71" s="0" t="str">
        <f aca="false">_xlfn.CONCAT(E71, " ", D71)</f>
        <v>Mr. Robert Bilbo </v>
      </c>
      <c r="B71" s="0" t="str">
        <f aca="false">LEFT(D71, SEARCH(" ",D71,1))</f>
        <v>Robert </v>
      </c>
      <c r="C71" s="5" t="str">
        <f aca="false">RIGHT(D71,LEN(D71)-SEARCH(" ",D71,1))</f>
        <v>Bilbo </v>
      </c>
      <c r="D71" s="1" t="s">
        <v>318</v>
      </c>
      <c r="E71" s="1" t="s">
        <v>66</v>
      </c>
      <c r="F71" s="1" t="s">
        <v>319</v>
      </c>
      <c r="G71" s="1" t="s">
        <v>320</v>
      </c>
      <c r="H71" s="1" t="s">
        <v>321</v>
      </c>
      <c r="I71" s="1" t="s">
        <v>70</v>
      </c>
      <c r="J71" s="1" t="n">
        <v>22070</v>
      </c>
      <c r="K71" s="1" t="n">
        <v>0</v>
      </c>
      <c r="M71" s="1" t="s">
        <v>322</v>
      </c>
      <c r="N71" s="1" t="s">
        <v>323</v>
      </c>
      <c r="O71" s="1" t="s">
        <v>237</v>
      </c>
      <c r="Q71" s="1" t="s">
        <v>324</v>
      </c>
      <c r="R71" s="1" t="s">
        <v>70</v>
      </c>
      <c r="S71" s="1" t="s">
        <v>325</v>
      </c>
      <c r="T71" s="6" t="n">
        <v>3528080000000000</v>
      </c>
      <c r="V71" s="1" t="n">
        <v>10119</v>
      </c>
      <c r="W71" s="1" t="n">
        <v>1969</v>
      </c>
      <c r="X71" s="7" t="n">
        <v>0</v>
      </c>
      <c r="Y71" s="7" t="n">
        <v>0.0400393518518519</v>
      </c>
      <c r="Z71" s="1" t="n">
        <v>26.87</v>
      </c>
      <c r="AA71" s="1" t="s">
        <v>250</v>
      </c>
      <c r="AB71" s="7" t="n">
        <v>0</v>
      </c>
      <c r="AC71" s="2" t="n">
        <v>42490</v>
      </c>
      <c r="AD71" s="1" t="n">
        <v>49</v>
      </c>
      <c r="AE71" s="1" t="n">
        <v>39.74</v>
      </c>
      <c r="AF71" s="1" t="s">
        <v>77</v>
      </c>
      <c r="AG71" s="1" t="s">
        <v>78</v>
      </c>
      <c r="AH71" s="1" t="s">
        <v>112</v>
      </c>
      <c r="AI71" s="1" t="s">
        <v>86</v>
      </c>
      <c r="AJ71" s="1" t="s">
        <v>152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1</v>
      </c>
      <c r="AV71" s="1" t="n">
        <v>0</v>
      </c>
      <c r="AW71" s="1" t="n">
        <v>1</v>
      </c>
      <c r="AX71" s="1" t="n">
        <v>1</v>
      </c>
      <c r="AY71" s="1" t="n">
        <v>0</v>
      </c>
      <c r="AZ71" s="1" t="n">
        <v>0</v>
      </c>
      <c r="BA71" s="1" t="n">
        <v>1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</row>
    <row r="72" customFormat="false" ht="16.15" hidden="false" customHeight="false" outlineLevel="0" collapsed="false">
      <c r="A72" s="0" t="str">
        <f aca="false">_xlfn.CONCAT(E72, " ", D72)</f>
        <v>Mr. Ahmed Richard </v>
      </c>
      <c r="B72" s="0" t="str">
        <f aca="false">LEFT(D72, SEARCH(" ",D72,1))</f>
        <v>Ahmed </v>
      </c>
      <c r="C72" s="5" t="str">
        <f aca="false">RIGHT(D72,LEN(D72)-SEARCH(" ",D72,1))</f>
        <v>Richard </v>
      </c>
      <c r="D72" s="1" t="s">
        <v>326</v>
      </c>
      <c r="E72" s="1" t="s">
        <v>66</v>
      </c>
      <c r="F72" s="1" t="s">
        <v>327</v>
      </c>
      <c r="G72" s="1" t="s">
        <v>328</v>
      </c>
      <c r="H72" s="1" t="s">
        <v>313</v>
      </c>
      <c r="I72" s="1" t="s">
        <v>145</v>
      </c>
      <c r="J72" s="1" t="n">
        <v>54911</v>
      </c>
      <c r="K72" s="1" t="n">
        <v>0</v>
      </c>
      <c r="M72" s="1" t="s">
        <v>329</v>
      </c>
      <c r="N72" s="1" t="s">
        <v>330</v>
      </c>
      <c r="O72" s="1" t="s">
        <v>237</v>
      </c>
      <c r="Q72" s="1" t="s">
        <v>331</v>
      </c>
      <c r="R72" s="1" t="s">
        <v>75</v>
      </c>
      <c r="S72" s="1" t="n">
        <v>229990001</v>
      </c>
      <c r="T72" s="6" t="n">
        <v>3528230000000000</v>
      </c>
      <c r="V72" s="1" t="n">
        <v>10123</v>
      </c>
      <c r="W72" s="1" t="n">
        <v>4564</v>
      </c>
      <c r="X72" s="7" t="n">
        <v>0</v>
      </c>
      <c r="Y72" s="7" t="n">
        <v>0.0304699074074074</v>
      </c>
      <c r="Z72" s="1" t="n">
        <v>24.08</v>
      </c>
      <c r="AA72" s="1" t="s">
        <v>149</v>
      </c>
      <c r="AB72" s="7" t="n">
        <v>0</v>
      </c>
      <c r="AC72" s="2" t="n">
        <v>42394</v>
      </c>
      <c r="AD72" s="1" t="n">
        <v>20</v>
      </c>
      <c r="AE72" s="1" t="n">
        <v>44.29</v>
      </c>
      <c r="AF72" s="1" t="s">
        <v>77</v>
      </c>
      <c r="AG72" s="1" t="s">
        <v>78</v>
      </c>
      <c r="AH72" s="1" t="s">
        <v>101</v>
      </c>
      <c r="AI72" s="1" t="s">
        <v>86</v>
      </c>
      <c r="AJ72" s="1" t="s">
        <v>103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1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</row>
    <row r="73" customFormat="false" ht="16.15" hidden="false" customHeight="false" outlineLevel="0" collapsed="false">
      <c r="A73" s="0" t="str">
        <f aca="false">_xlfn.CONCAT(E73, " ", D73)</f>
        <v>Mr. Ahmed Richard </v>
      </c>
      <c r="B73" s="0" t="str">
        <f aca="false">LEFT(D73, SEARCH(" ",D73,1))</f>
        <v>Ahmed </v>
      </c>
      <c r="C73" s="5" t="str">
        <f aca="false">RIGHT(D73,LEN(D73)-SEARCH(" ",D73,1))</f>
        <v>Richard </v>
      </c>
      <c r="D73" s="1" t="s">
        <v>326</v>
      </c>
      <c r="E73" s="1" t="s">
        <v>66</v>
      </c>
      <c r="F73" s="1" t="s">
        <v>327</v>
      </c>
      <c r="G73" s="1" t="s">
        <v>328</v>
      </c>
      <c r="H73" s="1" t="s">
        <v>313</v>
      </c>
      <c r="I73" s="1" t="s">
        <v>145</v>
      </c>
      <c r="J73" s="1" t="n">
        <v>54911</v>
      </c>
      <c r="K73" s="1" t="n">
        <v>0</v>
      </c>
      <c r="M73" s="1" t="s">
        <v>329</v>
      </c>
      <c r="N73" s="1" t="s">
        <v>330</v>
      </c>
      <c r="O73" s="1" t="s">
        <v>237</v>
      </c>
      <c r="Q73" s="1" t="s">
        <v>331</v>
      </c>
      <c r="R73" s="1" t="s">
        <v>75</v>
      </c>
      <c r="S73" s="1" t="n">
        <v>229990001</v>
      </c>
      <c r="T73" s="6" t="n">
        <v>3528560000000000</v>
      </c>
      <c r="V73" s="1" t="n">
        <v>10123</v>
      </c>
      <c r="W73" s="1" t="n">
        <v>6596</v>
      </c>
      <c r="X73" s="7" t="n">
        <v>0</v>
      </c>
      <c r="Y73" s="7" t="n">
        <v>0.0228101851851852</v>
      </c>
      <c r="Z73" s="1" t="n">
        <v>16.27</v>
      </c>
      <c r="AA73" s="1" t="s">
        <v>151</v>
      </c>
      <c r="AB73" s="7" t="n">
        <v>0</v>
      </c>
      <c r="AC73" s="2" t="n">
        <v>42384</v>
      </c>
      <c r="AD73" s="1" t="n">
        <v>20</v>
      </c>
      <c r="AE73" s="1" t="n">
        <v>46.36</v>
      </c>
      <c r="AF73" s="1" t="s">
        <v>115</v>
      </c>
      <c r="AG73" s="1" t="s">
        <v>78</v>
      </c>
      <c r="AH73" s="1" t="s">
        <v>101</v>
      </c>
      <c r="AI73" s="1" t="s">
        <v>86</v>
      </c>
      <c r="AJ73" s="1" t="s">
        <v>103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1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</row>
    <row r="74" customFormat="false" ht="16.15" hidden="false" customHeight="false" outlineLevel="0" collapsed="false">
      <c r="A74" s="0" t="str">
        <f aca="false">_xlfn.CONCAT(E74, " ", D74)</f>
        <v>Mr. Ahmed Richard </v>
      </c>
      <c r="B74" s="0" t="str">
        <f aca="false">LEFT(D74, SEARCH(" ",D74,1))</f>
        <v>Ahmed </v>
      </c>
      <c r="C74" s="5" t="str">
        <f aca="false">RIGHT(D74,LEN(D74)-SEARCH(" ",D74,1))</f>
        <v>Richard </v>
      </c>
      <c r="D74" s="1" t="s">
        <v>326</v>
      </c>
      <c r="E74" s="1" t="s">
        <v>66</v>
      </c>
      <c r="F74" s="1" t="s">
        <v>327</v>
      </c>
      <c r="G74" s="1" t="s">
        <v>328</v>
      </c>
      <c r="H74" s="1" t="s">
        <v>313</v>
      </c>
      <c r="I74" s="1" t="s">
        <v>145</v>
      </c>
      <c r="J74" s="1" t="n">
        <v>54911</v>
      </c>
      <c r="K74" s="1" t="n">
        <v>0</v>
      </c>
      <c r="M74" s="1" t="s">
        <v>329</v>
      </c>
      <c r="N74" s="1" t="s">
        <v>330</v>
      </c>
      <c r="O74" s="1" t="s">
        <v>237</v>
      </c>
      <c r="Q74" s="1" t="s">
        <v>331</v>
      </c>
      <c r="R74" s="1" t="s">
        <v>75</v>
      </c>
      <c r="S74" s="1" t="n">
        <v>229990001</v>
      </c>
      <c r="T74" s="6" t="n">
        <v>3528270000000000</v>
      </c>
      <c r="V74" s="1" t="n">
        <v>10123</v>
      </c>
      <c r="W74" s="1" t="n">
        <v>7325</v>
      </c>
      <c r="X74" s="7" t="n">
        <v>0</v>
      </c>
      <c r="Y74" s="7" t="n">
        <v>0.0234363425925926</v>
      </c>
      <c r="Z74" s="1" t="n">
        <v>11.45</v>
      </c>
      <c r="AA74" s="1" t="s">
        <v>171</v>
      </c>
      <c r="AB74" s="7" t="n">
        <v>0</v>
      </c>
      <c r="AC74" s="2" t="n">
        <v>42520</v>
      </c>
      <c r="AD74" s="1" t="n">
        <v>20</v>
      </c>
      <c r="AE74" s="1" t="n">
        <v>227.61</v>
      </c>
      <c r="AF74" s="1" t="s">
        <v>77</v>
      </c>
      <c r="AG74" s="1" t="s">
        <v>78</v>
      </c>
      <c r="AH74" s="1" t="s">
        <v>101</v>
      </c>
      <c r="AI74" s="1" t="s">
        <v>102</v>
      </c>
      <c r="AJ74" s="1" t="s">
        <v>103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1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1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1</v>
      </c>
      <c r="BK74" s="1" t="n">
        <v>0</v>
      </c>
      <c r="BL74" s="1" t="n">
        <v>1</v>
      </c>
      <c r="BM74" s="1" t="n">
        <v>1</v>
      </c>
    </row>
    <row r="75" customFormat="false" ht="16.15" hidden="false" customHeight="false" outlineLevel="0" collapsed="false">
      <c r="A75" s="0" t="str">
        <f aca="false">_xlfn.CONCAT(E75, " ", D75)</f>
        <v>Mr. Ahmed Richard </v>
      </c>
      <c r="B75" s="0" t="str">
        <f aca="false">LEFT(D75, SEARCH(" ",D75,1))</f>
        <v>Ahmed </v>
      </c>
      <c r="C75" s="5" t="str">
        <f aca="false">RIGHT(D75,LEN(D75)-SEARCH(" ",D75,1))</f>
        <v>Richard </v>
      </c>
      <c r="D75" s="1" t="s">
        <v>326</v>
      </c>
      <c r="E75" s="1" t="s">
        <v>66</v>
      </c>
      <c r="F75" s="1" t="s">
        <v>327</v>
      </c>
      <c r="G75" s="1" t="s">
        <v>328</v>
      </c>
      <c r="H75" s="1" t="s">
        <v>313</v>
      </c>
      <c r="I75" s="1" t="s">
        <v>145</v>
      </c>
      <c r="J75" s="1" t="n">
        <v>54911</v>
      </c>
      <c r="K75" s="1" t="n">
        <v>0</v>
      </c>
      <c r="M75" s="1" t="s">
        <v>329</v>
      </c>
      <c r="N75" s="1" t="s">
        <v>330</v>
      </c>
      <c r="O75" s="1" t="s">
        <v>237</v>
      </c>
      <c r="Q75" s="1" t="s">
        <v>331</v>
      </c>
      <c r="R75" s="1" t="s">
        <v>75</v>
      </c>
      <c r="S75" s="1" t="n">
        <v>229990001</v>
      </c>
      <c r="T75" s="6" t="n">
        <v>3528930000000000</v>
      </c>
      <c r="V75" s="1" t="n">
        <v>10123</v>
      </c>
      <c r="W75" s="1" t="n">
        <v>7496</v>
      </c>
      <c r="X75" s="7" t="n">
        <v>0</v>
      </c>
      <c r="Y75" s="7" t="n">
        <v>0.0228101851851852</v>
      </c>
      <c r="Z75" s="1" t="n">
        <v>18.45</v>
      </c>
      <c r="AA75" s="1" t="s">
        <v>151</v>
      </c>
      <c r="AB75" s="7" t="n">
        <v>0</v>
      </c>
      <c r="AC75" s="2" t="n">
        <v>42384</v>
      </c>
      <c r="AD75" s="1" t="n">
        <v>20</v>
      </c>
      <c r="AE75" s="1" t="n">
        <v>11.61</v>
      </c>
      <c r="AF75" s="1" t="s">
        <v>77</v>
      </c>
      <c r="AG75" s="1" t="s">
        <v>78</v>
      </c>
      <c r="AH75" s="1" t="s">
        <v>101</v>
      </c>
      <c r="AI75" s="1" t="s">
        <v>86</v>
      </c>
      <c r="AJ75" s="1" t="s">
        <v>103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1</v>
      </c>
      <c r="AV75" s="1" t="n">
        <v>0</v>
      </c>
      <c r="AW75" s="1" t="n">
        <v>1</v>
      </c>
      <c r="AX75" s="1" t="n">
        <v>1</v>
      </c>
      <c r="AY75" s="1" t="n">
        <v>0</v>
      </c>
      <c r="AZ75" s="1" t="n">
        <v>0</v>
      </c>
      <c r="BA75" s="1" t="n">
        <v>1</v>
      </c>
      <c r="BB75" s="1" t="n">
        <v>0</v>
      </c>
      <c r="BC75" s="1" t="n">
        <v>0</v>
      </c>
      <c r="BD75" s="1" t="n">
        <v>0</v>
      </c>
      <c r="BE75" s="1" t="n">
        <v>1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</row>
    <row r="76" customFormat="false" ht="16.15" hidden="false" customHeight="false" outlineLevel="0" collapsed="false">
      <c r="A76" s="0" t="str">
        <f aca="false">_xlfn.CONCAT(E76, " ", D76)</f>
        <v>Mr. Ahmed Richard </v>
      </c>
      <c r="B76" s="0" t="str">
        <f aca="false">LEFT(D76, SEARCH(" ",D76,1))</f>
        <v>Ahmed </v>
      </c>
      <c r="C76" s="5" t="str">
        <f aca="false">RIGHT(D76,LEN(D76)-SEARCH(" ",D76,1))</f>
        <v>Richard </v>
      </c>
      <c r="D76" s="1" t="s">
        <v>326</v>
      </c>
      <c r="E76" s="1" t="s">
        <v>66</v>
      </c>
      <c r="F76" s="1" t="s">
        <v>327</v>
      </c>
      <c r="G76" s="1" t="s">
        <v>328</v>
      </c>
      <c r="H76" s="1" t="s">
        <v>313</v>
      </c>
      <c r="I76" s="1" t="s">
        <v>145</v>
      </c>
      <c r="J76" s="1" t="n">
        <v>54911</v>
      </c>
      <c r="K76" s="1" t="n">
        <v>0</v>
      </c>
      <c r="M76" s="1" t="s">
        <v>329</v>
      </c>
      <c r="N76" s="1" t="s">
        <v>330</v>
      </c>
      <c r="O76" s="1" t="s">
        <v>237</v>
      </c>
      <c r="Q76" s="1" t="s">
        <v>331</v>
      </c>
      <c r="R76" s="1" t="s">
        <v>75</v>
      </c>
      <c r="S76" s="1" t="n">
        <v>229990001</v>
      </c>
      <c r="T76" s="6" t="n">
        <v>3528880000000000</v>
      </c>
      <c r="V76" s="1" t="n">
        <v>10123</v>
      </c>
      <c r="W76" s="1" t="n">
        <v>7989</v>
      </c>
      <c r="X76" s="7" t="n">
        <v>0</v>
      </c>
      <c r="Y76" s="7" t="n">
        <v>0.0332824074074074</v>
      </c>
      <c r="Z76" s="1" t="n">
        <v>17.23</v>
      </c>
      <c r="AA76" s="1" t="s">
        <v>291</v>
      </c>
      <c r="AB76" s="7" t="n">
        <v>0</v>
      </c>
      <c r="AC76" s="2" t="n">
        <v>42489</v>
      </c>
      <c r="AD76" s="1" t="n">
        <v>20</v>
      </c>
      <c r="AE76" s="1" t="n">
        <v>30.5</v>
      </c>
      <c r="AF76" s="1" t="s">
        <v>77</v>
      </c>
      <c r="AG76" s="1" t="s">
        <v>85</v>
      </c>
      <c r="AH76" s="1" t="s">
        <v>101</v>
      </c>
      <c r="AI76" s="1" t="s">
        <v>86</v>
      </c>
      <c r="AJ76" s="1" t="s">
        <v>103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1</v>
      </c>
      <c r="AV76" s="1" t="n">
        <v>0</v>
      </c>
      <c r="AW76" s="1" t="n">
        <v>1</v>
      </c>
      <c r="AX76" s="1" t="n">
        <v>1</v>
      </c>
      <c r="AY76" s="1" t="n">
        <v>0</v>
      </c>
      <c r="AZ76" s="1" t="n">
        <v>0</v>
      </c>
      <c r="BA76" s="1" t="n">
        <v>1</v>
      </c>
      <c r="BB76" s="1" t="n">
        <v>0</v>
      </c>
      <c r="BC76" s="1" t="n">
        <v>0</v>
      </c>
      <c r="BD76" s="1" t="n">
        <v>0</v>
      </c>
      <c r="BE76" s="1" t="n">
        <v>1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</row>
    <row r="77" customFormat="false" ht="16.15" hidden="false" customHeight="false" outlineLevel="0" collapsed="false">
      <c r="A77" s="0" t="str">
        <f aca="false">_xlfn.CONCAT(E77, " ", D77)</f>
        <v>Mr. Ray Hornsby </v>
      </c>
      <c r="B77" s="0" t="str">
        <f aca="false">LEFT(D77, SEARCH(" ",D77,1))</f>
        <v>Ray </v>
      </c>
      <c r="C77" s="5" t="str">
        <f aca="false">RIGHT(D77,LEN(D77)-SEARCH(" ",D77,1))</f>
        <v>Hornsby </v>
      </c>
      <c r="D77" s="1" t="s">
        <v>332</v>
      </c>
      <c r="E77" s="1" t="s">
        <v>66</v>
      </c>
      <c r="F77" s="1" t="s">
        <v>333</v>
      </c>
      <c r="G77" s="1" t="s">
        <v>334</v>
      </c>
      <c r="I77" s="1" t="s">
        <v>121</v>
      </c>
      <c r="J77" s="1" t="n">
        <v>29753</v>
      </c>
      <c r="K77" s="1" t="n">
        <v>0</v>
      </c>
      <c r="M77" s="1" t="s">
        <v>335</v>
      </c>
      <c r="N77" s="1" t="s">
        <v>336</v>
      </c>
      <c r="O77" s="1" t="s">
        <v>96</v>
      </c>
      <c r="Q77" s="1" t="s">
        <v>180</v>
      </c>
      <c r="R77" s="1" t="s">
        <v>70</v>
      </c>
      <c r="S77" s="1" t="s">
        <v>337</v>
      </c>
      <c r="T77" s="6" t="n">
        <v>4839450000000000</v>
      </c>
      <c r="V77" s="1" t="n">
        <v>10127</v>
      </c>
      <c r="W77" s="1" t="n">
        <v>3665</v>
      </c>
      <c r="X77" s="7" t="n">
        <v>0</v>
      </c>
      <c r="Y77" s="7" t="n">
        <v>0.00528240740740741</v>
      </c>
      <c r="Z77" s="1" t="n">
        <v>8.99</v>
      </c>
      <c r="AA77" s="1" t="s">
        <v>88</v>
      </c>
      <c r="AB77" s="7" t="n">
        <v>0</v>
      </c>
      <c r="AC77" s="2" t="n">
        <v>42373</v>
      </c>
      <c r="AD77" s="1" t="n">
        <v>49</v>
      </c>
      <c r="AE77" s="1" t="n">
        <v>17.29</v>
      </c>
      <c r="AF77" s="1" t="s">
        <v>77</v>
      </c>
      <c r="AG77" s="1" t="s">
        <v>78</v>
      </c>
      <c r="AH77" s="1" t="s">
        <v>112</v>
      </c>
      <c r="AI77" s="1" t="s">
        <v>86</v>
      </c>
      <c r="AJ77" s="1" t="s">
        <v>152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1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1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</row>
    <row r="78" customFormat="false" ht="16.15" hidden="false" customHeight="false" outlineLevel="0" collapsed="false">
      <c r="A78" s="0" t="str">
        <f aca="false">_xlfn.CONCAT(E78, " ", D78)</f>
        <v>Miss. Jason Glass </v>
      </c>
      <c r="B78" s="0" t="str">
        <f aca="false">LEFT(D78, SEARCH(" ",D78,1))</f>
        <v>Jason </v>
      </c>
      <c r="C78" s="5" t="str">
        <f aca="false">RIGHT(D78,LEN(D78)-SEARCH(" ",D78,1))</f>
        <v>Glass </v>
      </c>
      <c r="D78" s="1" t="s">
        <v>338</v>
      </c>
      <c r="E78" s="1" t="s">
        <v>339</v>
      </c>
      <c r="F78" s="1" t="s">
        <v>340</v>
      </c>
      <c r="G78" s="1" t="s">
        <v>341</v>
      </c>
      <c r="H78" s="1" t="s">
        <v>342</v>
      </c>
      <c r="I78" s="1" t="s">
        <v>288</v>
      </c>
      <c r="J78" s="1" t="n">
        <v>2284</v>
      </c>
      <c r="K78" s="1" t="n">
        <v>0</v>
      </c>
      <c r="M78" s="1" t="s">
        <v>343</v>
      </c>
      <c r="N78" s="1" t="s">
        <v>344</v>
      </c>
      <c r="O78" s="1" t="s">
        <v>200</v>
      </c>
      <c r="Q78" s="1" t="s">
        <v>345</v>
      </c>
      <c r="R78" s="1" t="s">
        <v>70</v>
      </c>
      <c r="S78" s="1" t="s">
        <v>346</v>
      </c>
      <c r="T78" s="6" t="n">
        <v>36383400000000</v>
      </c>
      <c r="V78" s="1" t="n">
        <v>10131</v>
      </c>
      <c r="W78" s="1" t="n">
        <v>1866</v>
      </c>
      <c r="X78" s="7" t="n">
        <v>0</v>
      </c>
      <c r="Y78" s="7" t="n">
        <v>0.0120902777777778</v>
      </c>
      <c r="Z78" s="1" t="n">
        <v>7.02</v>
      </c>
      <c r="AA78" s="1" t="s">
        <v>117</v>
      </c>
      <c r="AB78" s="7" t="n">
        <v>0</v>
      </c>
      <c r="AC78" s="2" t="n">
        <v>42602</v>
      </c>
      <c r="AD78" s="1" t="n">
        <v>78</v>
      </c>
      <c r="AE78" s="1" t="n">
        <v>161.59</v>
      </c>
      <c r="AF78" s="1" t="s">
        <v>77</v>
      </c>
      <c r="AG78" s="1" t="s">
        <v>85</v>
      </c>
      <c r="AH78" s="1" t="s">
        <v>79</v>
      </c>
      <c r="AI78" s="1" t="s">
        <v>102</v>
      </c>
      <c r="AJ78" s="1" t="s">
        <v>113</v>
      </c>
      <c r="AK78" s="1" t="n">
        <v>0</v>
      </c>
      <c r="AL78" s="1" t="n">
        <v>0</v>
      </c>
      <c r="AM78" s="1" t="n">
        <v>0</v>
      </c>
      <c r="AN78" s="1" t="n">
        <v>1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1</v>
      </c>
      <c r="BA78" s="1" t="n">
        <v>0</v>
      </c>
      <c r="BB78" s="1" t="n">
        <v>1</v>
      </c>
      <c r="BC78" s="1" t="n">
        <v>1</v>
      </c>
      <c r="BD78" s="1" t="n">
        <v>1</v>
      </c>
      <c r="BE78" s="1" t="n">
        <v>1</v>
      </c>
      <c r="BF78" s="1" t="n">
        <v>1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1</v>
      </c>
      <c r="BL78" s="1" t="n">
        <v>0</v>
      </c>
      <c r="BM78" s="1" t="n">
        <v>0</v>
      </c>
    </row>
    <row r="79" customFormat="false" ht="16.15" hidden="false" customHeight="false" outlineLevel="0" collapsed="false">
      <c r="A79" s="0" t="str">
        <f aca="false">_xlfn.CONCAT(E79, " ", D79)</f>
        <v>Miss. Jason Glass </v>
      </c>
      <c r="B79" s="0" t="str">
        <f aca="false">LEFT(D79, SEARCH(" ",D79,1))</f>
        <v>Jason </v>
      </c>
      <c r="C79" s="5" t="str">
        <f aca="false">RIGHT(D79,LEN(D79)-SEARCH(" ",D79,1))</f>
        <v>Glass </v>
      </c>
      <c r="D79" s="1" t="s">
        <v>338</v>
      </c>
      <c r="E79" s="1" t="s">
        <v>339</v>
      </c>
      <c r="F79" s="1" t="s">
        <v>340</v>
      </c>
      <c r="G79" s="1" t="s">
        <v>341</v>
      </c>
      <c r="H79" s="1" t="s">
        <v>342</v>
      </c>
      <c r="I79" s="1" t="s">
        <v>288</v>
      </c>
      <c r="J79" s="1" t="n">
        <v>2284</v>
      </c>
      <c r="K79" s="1" t="n">
        <v>0</v>
      </c>
      <c r="M79" s="1" t="s">
        <v>343</v>
      </c>
      <c r="N79" s="1" t="s">
        <v>344</v>
      </c>
      <c r="O79" s="1" t="s">
        <v>200</v>
      </c>
      <c r="Q79" s="1" t="s">
        <v>345</v>
      </c>
      <c r="R79" s="1" t="s">
        <v>70</v>
      </c>
      <c r="S79" s="1" t="s">
        <v>346</v>
      </c>
      <c r="T79" s="6" t="n">
        <v>36851500000000</v>
      </c>
      <c r="V79" s="1" t="n">
        <v>10131</v>
      </c>
      <c r="W79" s="1" t="n">
        <v>5009</v>
      </c>
      <c r="X79" s="7" t="n">
        <v>0</v>
      </c>
      <c r="Y79" s="7" t="n">
        <v>0.0304930555555556</v>
      </c>
      <c r="Z79" s="1" t="n">
        <v>8.23</v>
      </c>
      <c r="AA79" s="1" t="s">
        <v>347</v>
      </c>
      <c r="AB79" s="7" t="n">
        <v>0</v>
      </c>
      <c r="AC79" s="2" t="n">
        <v>42665</v>
      </c>
      <c r="AD79" s="1" t="n">
        <v>78</v>
      </c>
      <c r="AE79" s="1" t="n">
        <v>145.28</v>
      </c>
      <c r="AF79" s="1" t="s">
        <v>83</v>
      </c>
      <c r="AG79" s="1" t="s">
        <v>85</v>
      </c>
      <c r="AH79" s="1" t="s">
        <v>79</v>
      </c>
      <c r="AI79" s="1" t="s">
        <v>80</v>
      </c>
      <c r="AJ79" s="1" t="s">
        <v>113</v>
      </c>
      <c r="AK79" s="1" t="n">
        <v>0</v>
      </c>
      <c r="AL79" s="1" t="n">
        <v>1</v>
      </c>
      <c r="AM79" s="1" t="n">
        <v>1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1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1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</row>
    <row r="80" customFormat="false" ht="16.15" hidden="false" customHeight="false" outlineLevel="0" collapsed="false">
      <c r="A80" s="0" t="str">
        <f aca="false">_xlfn.CONCAT(E80, " ", D80)</f>
        <v>Miss. Jason Glass </v>
      </c>
      <c r="B80" s="0" t="str">
        <f aca="false">LEFT(D80, SEARCH(" ",D80,1))</f>
        <v>Jason </v>
      </c>
      <c r="C80" s="5" t="str">
        <f aca="false">RIGHT(D80,LEN(D80)-SEARCH(" ",D80,1))</f>
        <v>Glass </v>
      </c>
      <c r="D80" s="1" t="s">
        <v>338</v>
      </c>
      <c r="E80" s="1" t="s">
        <v>339</v>
      </c>
      <c r="F80" s="1" t="s">
        <v>340</v>
      </c>
      <c r="G80" s="1" t="s">
        <v>341</v>
      </c>
      <c r="H80" s="1" t="s">
        <v>342</v>
      </c>
      <c r="I80" s="1" t="s">
        <v>288</v>
      </c>
      <c r="J80" s="1" t="n">
        <v>2284</v>
      </c>
      <c r="K80" s="1" t="n">
        <v>0</v>
      </c>
      <c r="M80" s="1" t="s">
        <v>343</v>
      </c>
      <c r="N80" s="1" t="s">
        <v>344</v>
      </c>
      <c r="O80" s="1" t="s">
        <v>200</v>
      </c>
      <c r="Q80" s="1" t="s">
        <v>345</v>
      </c>
      <c r="R80" s="1" t="s">
        <v>70</v>
      </c>
      <c r="S80" s="1" t="s">
        <v>346</v>
      </c>
      <c r="T80" s="6" t="n">
        <v>36452900000000</v>
      </c>
      <c r="V80" s="1" t="n">
        <v>10131</v>
      </c>
      <c r="W80" s="1" t="n">
        <v>7982</v>
      </c>
      <c r="X80" s="7" t="n">
        <v>0.0329282407407407</v>
      </c>
      <c r="Y80" s="7" t="n">
        <v>0.0329328703703704</v>
      </c>
      <c r="Z80" s="1" t="n">
        <v>23.12</v>
      </c>
      <c r="AA80" s="1" t="s">
        <v>348</v>
      </c>
      <c r="AB80" s="7" t="n">
        <v>0.0329282407407407</v>
      </c>
      <c r="AC80" s="2" t="n">
        <v>42498</v>
      </c>
      <c r="AD80" s="1" t="n">
        <v>78</v>
      </c>
      <c r="AE80" s="1" t="n">
        <v>205.85</v>
      </c>
      <c r="AF80" s="1" t="s">
        <v>77</v>
      </c>
      <c r="AG80" s="1" t="s">
        <v>85</v>
      </c>
      <c r="AH80" s="1" t="s">
        <v>79</v>
      </c>
      <c r="AI80" s="1" t="s">
        <v>102</v>
      </c>
      <c r="AJ80" s="1" t="s">
        <v>113</v>
      </c>
      <c r="AK80" s="1" t="n">
        <v>0</v>
      </c>
      <c r="AL80" s="1" t="n">
        <v>0</v>
      </c>
      <c r="AM80" s="1" t="n">
        <v>1</v>
      </c>
      <c r="AN80" s="1" t="n">
        <v>0</v>
      </c>
      <c r="AO80" s="1" t="n">
        <v>1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1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1</v>
      </c>
      <c r="BA80" s="1" t="n">
        <v>0</v>
      </c>
      <c r="BB80" s="1" t="n">
        <v>1</v>
      </c>
      <c r="BC80" s="1" t="n">
        <v>0</v>
      </c>
      <c r="BD80" s="1" t="n">
        <v>0</v>
      </c>
      <c r="BE80" s="1" t="n">
        <v>0</v>
      </c>
      <c r="BF80" s="1" t="n">
        <v>1</v>
      </c>
      <c r="BG80" s="1" t="n">
        <v>0</v>
      </c>
      <c r="BH80" s="1" t="n">
        <v>1</v>
      </c>
      <c r="BI80" s="1" t="n">
        <v>0</v>
      </c>
      <c r="BJ80" s="1" t="n">
        <v>0</v>
      </c>
      <c r="BK80" s="1" t="n">
        <v>0</v>
      </c>
      <c r="BL80" s="1" t="n">
        <v>1</v>
      </c>
      <c r="BM80" s="1" t="n">
        <v>1</v>
      </c>
    </row>
    <row r="81" customFormat="false" ht="16.15" hidden="false" customHeight="false" outlineLevel="0" collapsed="false">
      <c r="A81" s="0" t="str">
        <f aca="false">_xlfn.CONCAT(E81, " ", D81)</f>
        <v>Mrs. Natalie White </v>
      </c>
      <c r="B81" s="0" t="str">
        <f aca="false">LEFT(D81, SEARCH(" ",D81,1))</f>
        <v>Natalie </v>
      </c>
      <c r="C81" s="5" t="str">
        <f aca="false">RIGHT(D81,LEN(D81)-SEARCH(" ",D81,1))</f>
        <v>White </v>
      </c>
      <c r="D81" s="1" t="s">
        <v>349</v>
      </c>
      <c r="E81" s="1" t="s">
        <v>154</v>
      </c>
      <c r="F81" s="1" t="s">
        <v>350</v>
      </c>
      <c r="G81" s="1" t="s">
        <v>351</v>
      </c>
      <c r="H81" s="1" t="s">
        <v>263</v>
      </c>
      <c r="I81" s="1" t="s">
        <v>145</v>
      </c>
      <c r="J81" s="1" t="n">
        <v>76011</v>
      </c>
      <c r="K81" s="1" t="n">
        <v>0</v>
      </c>
      <c r="M81" s="1" t="s">
        <v>352</v>
      </c>
      <c r="N81" s="1" t="s">
        <v>353</v>
      </c>
      <c r="O81" s="1" t="s">
        <v>96</v>
      </c>
      <c r="Q81" s="1" t="s">
        <v>354</v>
      </c>
      <c r="R81" s="1" t="s">
        <v>121</v>
      </c>
      <c r="S81" s="1" t="s">
        <v>355</v>
      </c>
      <c r="T81" s="6" t="n">
        <v>4658070000000000</v>
      </c>
      <c r="V81" s="1" t="n">
        <v>10135</v>
      </c>
      <c r="W81" s="1" t="n">
        <v>5052</v>
      </c>
      <c r="X81" s="7" t="n">
        <v>0</v>
      </c>
      <c r="Y81" s="7" t="n">
        <v>0.00794328703703704</v>
      </c>
      <c r="Z81" s="1" t="n">
        <v>7.85</v>
      </c>
      <c r="AA81" s="1" t="s">
        <v>356</v>
      </c>
      <c r="AB81" s="7" t="n">
        <v>0</v>
      </c>
      <c r="AC81" s="2" t="n">
        <v>42623</v>
      </c>
      <c r="AD81" s="1" t="s">
        <v>100</v>
      </c>
      <c r="AE81" s="1" t="n">
        <v>220.34</v>
      </c>
      <c r="AF81" s="1" t="s">
        <v>77</v>
      </c>
      <c r="AG81" s="1" t="s">
        <v>78</v>
      </c>
      <c r="AH81" s="1" t="s">
        <v>112</v>
      </c>
      <c r="AI81" s="1" t="s">
        <v>102</v>
      </c>
      <c r="AJ81" s="1" t="s">
        <v>103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1</v>
      </c>
      <c r="AZ81" s="1" t="n">
        <v>1</v>
      </c>
      <c r="BA81" s="1" t="n">
        <v>1</v>
      </c>
      <c r="BB81" s="1" t="n">
        <v>1</v>
      </c>
      <c r="BC81" s="1" t="n">
        <v>1</v>
      </c>
      <c r="BD81" s="1" t="n">
        <v>0</v>
      </c>
      <c r="BE81" s="1" t="n">
        <v>1</v>
      </c>
      <c r="BF81" s="1" t="n">
        <v>0</v>
      </c>
      <c r="BG81" s="1" t="n">
        <v>1</v>
      </c>
      <c r="BH81" s="1" t="n">
        <v>0</v>
      </c>
      <c r="BI81" s="1" t="n">
        <v>0</v>
      </c>
      <c r="BJ81" s="1" t="n">
        <v>1</v>
      </c>
      <c r="BK81" s="1" t="n">
        <v>0</v>
      </c>
      <c r="BL81" s="1" t="n">
        <v>0</v>
      </c>
      <c r="BM81" s="1" t="n">
        <v>0</v>
      </c>
    </row>
    <row r="82" customFormat="false" ht="16.15" hidden="false" customHeight="false" outlineLevel="0" collapsed="false">
      <c r="A82" s="0" t="str">
        <f aca="false">_xlfn.CONCAT(E82, " ", D82)</f>
        <v>Mrs. Natalie White </v>
      </c>
      <c r="B82" s="0" t="str">
        <f aca="false">LEFT(D82, SEARCH(" ",D82,1))</f>
        <v>Natalie </v>
      </c>
      <c r="C82" s="5" t="str">
        <f aca="false">RIGHT(D82,LEN(D82)-SEARCH(" ",D82,1))</f>
        <v>White </v>
      </c>
      <c r="D82" s="1" t="s">
        <v>349</v>
      </c>
      <c r="E82" s="1" t="s">
        <v>154</v>
      </c>
      <c r="F82" s="1" t="s">
        <v>350</v>
      </c>
      <c r="G82" s="1" t="s">
        <v>351</v>
      </c>
      <c r="H82" s="1" t="s">
        <v>263</v>
      </c>
      <c r="I82" s="1" t="s">
        <v>145</v>
      </c>
      <c r="J82" s="1" t="n">
        <v>76011</v>
      </c>
      <c r="K82" s="1" t="n">
        <v>0</v>
      </c>
      <c r="M82" s="1" t="s">
        <v>352</v>
      </c>
      <c r="N82" s="1" t="s">
        <v>353</v>
      </c>
      <c r="O82" s="1" t="s">
        <v>96</v>
      </c>
      <c r="Q82" s="1" t="s">
        <v>354</v>
      </c>
      <c r="R82" s="1" t="s">
        <v>121</v>
      </c>
      <c r="S82" s="1" t="s">
        <v>355</v>
      </c>
      <c r="T82" s="6" t="n">
        <v>4904960000000000</v>
      </c>
      <c r="V82" s="1" t="n">
        <v>10135</v>
      </c>
      <c r="W82" s="1" t="n">
        <v>7836</v>
      </c>
      <c r="X82" s="7" t="n">
        <v>0</v>
      </c>
      <c r="Y82" s="7" t="n">
        <v>0.0202106481481481</v>
      </c>
      <c r="Z82" s="1" t="n">
        <v>33.85</v>
      </c>
      <c r="AA82" s="1" t="s">
        <v>76</v>
      </c>
      <c r="AB82" s="7" t="n">
        <v>0</v>
      </c>
      <c r="AC82" s="2" t="n">
        <v>42578</v>
      </c>
      <c r="AD82" s="1" t="s">
        <v>100</v>
      </c>
      <c r="AE82" s="1" t="n">
        <v>281.44</v>
      </c>
      <c r="AF82" s="1" t="s">
        <v>77</v>
      </c>
      <c r="AG82" s="1" t="s">
        <v>85</v>
      </c>
      <c r="AH82" s="1" t="s">
        <v>112</v>
      </c>
      <c r="AI82" s="1" t="s">
        <v>102</v>
      </c>
      <c r="AJ82" s="1" t="s">
        <v>103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1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1</v>
      </c>
      <c r="BA82" s="1" t="n">
        <v>0</v>
      </c>
      <c r="BB82" s="1" t="n">
        <v>0</v>
      </c>
      <c r="BC82" s="1" t="n">
        <v>1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1</v>
      </c>
      <c r="BM82" s="1" t="n">
        <v>1</v>
      </c>
    </row>
    <row r="83" customFormat="false" ht="16.15" hidden="false" customHeight="false" outlineLevel="0" collapsed="false">
      <c r="A83" s="0" t="str">
        <f aca="false">_xlfn.CONCAT(E83, " ", D83)</f>
        <v>Mrs. Donna Klock </v>
      </c>
      <c r="B83" s="0" t="str">
        <f aca="false">LEFT(D83, SEARCH(" ",D83,1))</f>
        <v>Donna </v>
      </c>
      <c r="C83" s="5" t="str">
        <f aca="false">RIGHT(D83,LEN(D83)-SEARCH(" ",D83,1))</f>
        <v>Klock </v>
      </c>
      <c r="D83" s="1" t="s">
        <v>357</v>
      </c>
      <c r="E83" s="1" t="s">
        <v>154</v>
      </c>
      <c r="F83" s="1" t="s">
        <v>358</v>
      </c>
      <c r="G83" s="1" t="s">
        <v>351</v>
      </c>
      <c r="H83" s="1" t="s">
        <v>359</v>
      </c>
      <c r="I83" s="1" t="s">
        <v>145</v>
      </c>
      <c r="J83" s="1" t="n">
        <v>68002</v>
      </c>
      <c r="K83" s="1" t="n">
        <v>0</v>
      </c>
      <c r="M83" s="1" t="s">
        <v>360</v>
      </c>
      <c r="N83" s="1" t="s">
        <v>361</v>
      </c>
      <c r="O83" s="1" t="s">
        <v>96</v>
      </c>
      <c r="Q83" s="1" t="s">
        <v>362</v>
      </c>
      <c r="R83" s="1" t="s">
        <v>75</v>
      </c>
      <c r="S83" s="1" t="n">
        <v>492230001</v>
      </c>
      <c r="T83" s="6" t="n">
        <v>4136050000000000</v>
      </c>
      <c r="V83" s="1" t="n">
        <v>10139</v>
      </c>
      <c r="W83" s="1" t="n">
        <v>4045</v>
      </c>
      <c r="X83" s="7" t="n">
        <v>0</v>
      </c>
      <c r="Y83" s="7" t="n">
        <v>0.0234351851851852</v>
      </c>
      <c r="Z83" s="1" t="n">
        <v>52</v>
      </c>
      <c r="AA83" s="1" t="s">
        <v>137</v>
      </c>
      <c r="AB83" s="7" t="n">
        <v>0</v>
      </c>
      <c r="AC83" s="2" t="n">
        <v>42724</v>
      </c>
      <c r="AD83" s="1" t="n">
        <v>53</v>
      </c>
      <c r="AE83" s="1" t="n">
        <v>40.12</v>
      </c>
      <c r="AF83" s="1" t="s">
        <v>77</v>
      </c>
      <c r="AG83" s="1" t="s">
        <v>78</v>
      </c>
      <c r="AH83" s="1" t="s">
        <v>112</v>
      </c>
      <c r="AI83" s="1" t="s">
        <v>86</v>
      </c>
      <c r="AJ83" s="1" t="s">
        <v>113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1</v>
      </c>
      <c r="AV83" s="1" t="n">
        <v>0</v>
      </c>
      <c r="AW83" s="1" t="n">
        <v>1</v>
      </c>
      <c r="AX83" s="1" t="n">
        <v>1</v>
      </c>
      <c r="AY83" s="1" t="n">
        <v>0</v>
      </c>
      <c r="AZ83" s="1" t="n">
        <v>0</v>
      </c>
      <c r="BA83" s="1" t="n">
        <v>1</v>
      </c>
      <c r="BB83" s="1" t="n">
        <v>0</v>
      </c>
      <c r="BC83" s="1" t="n">
        <v>0</v>
      </c>
      <c r="BD83" s="1" t="n">
        <v>0</v>
      </c>
      <c r="BE83" s="1" t="n">
        <v>1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</row>
    <row r="84" customFormat="false" ht="16.15" hidden="false" customHeight="false" outlineLevel="0" collapsed="false">
      <c r="A84" s="0" t="str">
        <f aca="false">_xlfn.CONCAT(E84, " ", D84)</f>
        <v>Mrs. Donna Klock </v>
      </c>
      <c r="B84" s="0" t="str">
        <f aca="false">LEFT(D84, SEARCH(" ",D84,1))</f>
        <v>Donna </v>
      </c>
      <c r="C84" s="5" t="str">
        <f aca="false">RIGHT(D84,LEN(D84)-SEARCH(" ",D84,1))</f>
        <v>Klock </v>
      </c>
      <c r="D84" s="1" t="s">
        <v>357</v>
      </c>
      <c r="E84" s="1" t="s">
        <v>154</v>
      </c>
      <c r="F84" s="1" t="s">
        <v>358</v>
      </c>
      <c r="G84" s="1" t="s">
        <v>351</v>
      </c>
      <c r="H84" s="1" t="s">
        <v>359</v>
      </c>
      <c r="I84" s="1" t="s">
        <v>145</v>
      </c>
      <c r="J84" s="1" t="n">
        <v>68002</v>
      </c>
      <c r="K84" s="1" t="n">
        <v>0</v>
      </c>
      <c r="M84" s="1" t="s">
        <v>360</v>
      </c>
      <c r="N84" s="1" t="s">
        <v>361</v>
      </c>
      <c r="O84" s="1" t="s">
        <v>96</v>
      </c>
      <c r="Q84" s="1" t="s">
        <v>362</v>
      </c>
      <c r="R84" s="1" t="s">
        <v>75</v>
      </c>
      <c r="S84" s="1" t="n">
        <v>492230001</v>
      </c>
      <c r="T84" s="6" t="n">
        <v>4535740000000000</v>
      </c>
      <c r="V84" s="1" t="n">
        <v>10139</v>
      </c>
      <c r="W84" s="1" t="n">
        <v>4082</v>
      </c>
      <c r="X84" s="7" t="n">
        <v>0</v>
      </c>
      <c r="Y84" s="7" t="n">
        <v>0.0228101851851852</v>
      </c>
      <c r="Z84" s="1" t="n">
        <v>16.83</v>
      </c>
      <c r="AA84" s="1" t="s">
        <v>151</v>
      </c>
      <c r="AB84" s="7" t="n">
        <v>0</v>
      </c>
      <c r="AC84" s="2" t="n">
        <v>42384</v>
      </c>
      <c r="AD84" s="1" t="n">
        <v>53</v>
      </c>
      <c r="AE84" s="1" t="n">
        <v>28.48</v>
      </c>
      <c r="AF84" s="1" t="s">
        <v>77</v>
      </c>
      <c r="AG84" s="1" t="s">
        <v>78</v>
      </c>
      <c r="AH84" s="1" t="s">
        <v>112</v>
      </c>
      <c r="AI84" s="1" t="s">
        <v>86</v>
      </c>
      <c r="AJ84" s="1" t="s">
        <v>113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1</v>
      </c>
      <c r="AV84" s="1" t="n">
        <v>0</v>
      </c>
      <c r="AW84" s="1" t="n">
        <v>1</v>
      </c>
      <c r="AX84" s="1" t="n">
        <v>0</v>
      </c>
      <c r="AY84" s="1" t="n">
        <v>0</v>
      </c>
      <c r="AZ84" s="1" t="n">
        <v>0</v>
      </c>
      <c r="BA84" s="1" t="n">
        <v>1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</row>
    <row r="85" customFormat="false" ht="16.15" hidden="false" customHeight="false" outlineLevel="0" collapsed="false">
      <c r="A85" s="0" t="str">
        <f aca="false">_xlfn.CONCAT(E85, " ", D85)</f>
        <v>Mrs. Donna Klock </v>
      </c>
      <c r="B85" s="0" t="str">
        <f aca="false">LEFT(D85, SEARCH(" ",D85,1))</f>
        <v>Donna </v>
      </c>
      <c r="C85" s="5" t="str">
        <f aca="false">RIGHT(D85,LEN(D85)-SEARCH(" ",D85,1))</f>
        <v>Klock </v>
      </c>
      <c r="D85" s="1" t="s">
        <v>357</v>
      </c>
      <c r="E85" s="1" t="s">
        <v>154</v>
      </c>
      <c r="F85" s="1" t="s">
        <v>358</v>
      </c>
      <c r="G85" s="1" t="s">
        <v>351</v>
      </c>
      <c r="H85" s="1" t="s">
        <v>359</v>
      </c>
      <c r="I85" s="1" t="s">
        <v>145</v>
      </c>
      <c r="J85" s="1" t="n">
        <v>68002</v>
      </c>
      <c r="K85" s="1" t="n">
        <v>0</v>
      </c>
      <c r="M85" s="1" t="s">
        <v>360</v>
      </c>
      <c r="N85" s="1" t="s">
        <v>361</v>
      </c>
      <c r="O85" s="1" t="s">
        <v>96</v>
      </c>
      <c r="Q85" s="1" t="s">
        <v>362</v>
      </c>
      <c r="R85" s="1" t="s">
        <v>75</v>
      </c>
      <c r="S85" s="1" t="n">
        <v>492230001</v>
      </c>
      <c r="T85" s="6" t="n">
        <v>4929780000000000</v>
      </c>
      <c r="V85" s="1" t="n">
        <v>10139</v>
      </c>
      <c r="W85" s="1" t="n">
        <v>6973</v>
      </c>
      <c r="X85" s="7" t="n">
        <v>0.0329282407407407</v>
      </c>
      <c r="Y85" s="7" t="n">
        <v>0.0329328703703704</v>
      </c>
      <c r="Z85" s="1" t="n">
        <v>13.82</v>
      </c>
      <c r="AA85" s="1" t="s">
        <v>111</v>
      </c>
      <c r="AB85" s="7" t="n">
        <v>0.0329282407407407</v>
      </c>
      <c r="AC85" s="2" t="n">
        <v>42498</v>
      </c>
      <c r="AD85" s="1" t="n">
        <v>53</v>
      </c>
      <c r="AE85" s="1" t="n">
        <v>25.83</v>
      </c>
      <c r="AF85" s="1" t="s">
        <v>77</v>
      </c>
      <c r="AG85" s="1" t="s">
        <v>78</v>
      </c>
      <c r="AH85" s="1" t="s">
        <v>112</v>
      </c>
      <c r="AI85" s="1" t="s">
        <v>86</v>
      </c>
      <c r="AJ85" s="1" t="s">
        <v>113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1</v>
      </c>
      <c r="AV85" s="1" t="n">
        <v>0</v>
      </c>
      <c r="AW85" s="1" t="n">
        <v>1</v>
      </c>
      <c r="AX85" s="1" t="n">
        <v>1</v>
      </c>
      <c r="AY85" s="1" t="n">
        <v>0</v>
      </c>
      <c r="AZ85" s="1" t="n">
        <v>0</v>
      </c>
      <c r="BA85" s="1" t="n">
        <v>1</v>
      </c>
      <c r="BB85" s="1" t="n">
        <v>0</v>
      </c>
      <c r="BC85" s="1" t="n">
        <v>0</v>
      </c>
      <c r="BD85" s="1" t="n">
        <v>0</v>
      </c>
      <c r="BE85" s="1" t="n">
        <v>1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</row>
    <row r="86" customFormat="false" ht="16.15" hidden="false" customHeight="false" outlineLevel="0" collapsed="false">
      <c r="A86" s="0" t="str">
        <f aca="false">_xlfn.CONCAT(E86, " ", D86)</f>
        <v>Mrs. Donna Klock </v>
      </c>
      <c r="B86" s="0" t="str">
        <f aca="false">LEFT(D86, SEARCH(" ",D86,1))</f>
        <v>Donna </v>
      </c>
      <c r="C86" s="5" t="str">
        <f aca="false">RIGHT(D86,LEN(D86)-SEARCH(" ",D86,1))</f>
        <v>Klock </v>
      </c>
      <c r="D86" s="1" t="s">
        <v>357</v>
      </c>
      <c r="E86" s="1" t="s">
        <v>154</v>
      </c>
      <c r="F86" s="1" t="s">
        <v>358</v>
      </c>
      <c r="G86" s="1" t="s">
        <v>351</v>
      </c>
      <c r="H86" s="1" t="s">
        <v>359</v>
      </c>
      <c r="I86" s="1" t="s">
        <v>145</v>
      </c>
      <c r="J86" s="1" t="n">
        <v>68002</v>
      </c>
      <c r="K86" s="1" t="n">
        <v>0</v>
      </c>
      <c r="M86" s="1" t="s">
        <v>360</v>
      </c>
      <c r="N86" s="1" t="s">
        <v>361</v>
      </c>
      <c r="O86" s="1" t="s">
        <v>96</v>
      </c>
      <c r="Q86" s="1" t="s">
        <v>362</v>
      </c>
      <c r="R86" s="1" t="s">
        <v>75</v>
      </c>
      <c r="S86" s="1" t="n">
        <v>492230001</v>
      </c>
      <c r="T86" s="6" t="n">
        <v>4426700000000000</v>
      </c>
      <c r="V86" s="1" t="n">
        <v>10139</v>
      </c>
      <c r="W86" s="1" t="n">
        <v>8786</v>
      </c>
      <c r="X86" s="7" t="n">
        <v>0</v>
      </c>
      <c r="Y86" s="7" t="n">
        <v>0.00514467592592593</v>
      </c>
      <c r="Z86" s="1" t="n">
        <v>7.85</v>
      </c>
      <c r="AA86" s="1" t="s">
        <v>363</v>
      </c>
      <c r="AB86" s="7" t="n">
        <v>0</v>
      </c>
      <c r="AC86" s="2" t="n">
        <v>42651</v>
      </c>
      <c r="AD86" s="1" t="n">
        <v>53</v>
      </c>
      <c r="AE86" s="1" t="n">
        <v>42.85</v>
      </c>
      <c r="AF86" s="1" t="s">
        <v>129</v>
      </c>
      <c r="AG86" s="1" t="s">
        <v>78</v>
      </c>
      <c r="AH86" s="1" t="s">
        <v>112</v>
      </c>
      <c r="AI86" s="1" t="s">
        <v>86</v>
      </c>
      <c r="AJ86" s="1" t="s">
        <v>113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1</v>
      </c>
      <c r="AV86" s="1" t="n">
        <v>0</v>
      </c>
      <c r="AW86" s="1" t="n">
        <v>1</v>
      </c>
      <c r="AX86" s="1" t="n">
        <v>1</v>
      </c>
      <c r="AY86" s="1" t="n">
        <v>0</v>
      </c>
      <c r="AZ86" s="1" t="n">
        <v>0</v>
      </c>
      <c r="BA86" s="1" t="n">
        <v>1</v>
      </c>
      <c r="BB86" s="1" t="n">
        <v>0</v>
      </c>
      <c r="BC86" s="1" t="n">
        <v>0</v>
      </c>
      <c r="BD86" s="1" t="n">
        <v>0</v>
      </c>
      <c r="BE86" s="1" t="n">
        <v>1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</row>
    <row r="87" customFormat="false" ht="16.15" hidden="false" customHeight="false" outlineLevel="0" collapsed="false">
      <c r="A87" s="0" t="str">
        <f aca="false">_xlfn.CONCAT(E87, " ", D87)</f>
        <v>Mr. Donald Velazquez </v>
      </c>
      <c r="B87" s="0" t="str">
        <f aca="false">LEFT(D87, SEARCH(" ",D87,1))</f>
        <v>Donald </v>
      </c>
      <c r="C87" s="5" t="str">
        <f aca="false">RIGHT(D87,LEN(D87)-SEARCH(" ",D87,1))</f>
        <v>Velazquez </v>
      </c>
      <c r="D87" s="1" t="s">
        <v>364</v>
      </c>
      <c r="E87" s="1" t="s">
        <v>66</v>
      </c>
      <c r="F87" s="1" t="s">
        <v>365</v>
      </c>
      <c r="G87" s="1" t="s">
        <v>366</v>
      </c>
      <c r="I87" s="1" t="s">
        <v>93</v>
      </c>
      <c r="J87" s="1" t="n">
        <v>6431</v>
      </c>
      <c r="K87" s="1" t="n">
        <v>0</v>
      </c>
      <c r="M87" s="1" t="s">
        <v>367</v>
      </c>
      <c r="N87" s="1" t="s">
        <v>368</v>
      </c>
      <c r="O87" s="1" t="s">
        <v>237</v>
      </c>
      <c r="Q87" s="1" t="s">
        <v>220</v>
      </c>
      <c r="R87" s="1" t="s">
        <v>70</v>
      </c>
      <c r="S87" s="1" t="s">
        <v>369</v>
      </c>
      <c r="T87" s="6" t="n">
        <v>3528670000000000</v>
      </c>
      <c r="V87" s="1" t="n">
        <v>10147</v>
      </c>
      <c r="W87" s="1" t="n">
        <v>1102</v>
      </c>
      <c r="X87" s="7" t="n">
        <v>0</v>
      </c>
      <c r="Y87" s="7" t="n">
        <v>0.0332824074074074</v>
      </c>
      <c r="Z87" s="1" t="n">
        <v>8.99</v>
      </c>
      <c r="AA87" s="1" t="s">
        <v>291</v>
      </c>
      <c r="AB87" s="7" t="n">
        <v>0</v>
      </c>
      <c r="AC87" s="2" t="n">
        <v>42489</v>
      </c>
      <c r="AD87" s="1" t="s">
        <v>370</v>
      </c>
      <c r="AE87" s="1" t="n">
        <v>6.47</v>
      </c>
      <c r="AF87" s="1" t="s">
        <v>77</v>
      </c>
      <c r="AG87" s="1" t="s">
        <v>78</v>
      </c>
      <c r="AH87" s="1" t="s">
        <v>101</v>
      </c>
      <c r="AI87" s="1" t="s">
        <v>86</v>
      </c>
      <c r="AJ87" s="1" t="s">
        <v>103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1</v>
      </c>
      <c r="AV87" s="1" t="n">
        <v>0</v>
      </c>
      <c r="AW87" s="1" t="n">
        <v>1</v>
      </c>
      <c r="AX87" s="1" t="n">
        <v>1</v>
      </c>
      <c r="AY87" s="1" t="n">
        <v>0</v>
      </c>
      <c r="AZ87" s="1" t="n">
        <v>0</v>
      </c>
      <c r="BA87" s="1" t="n">
        <v>1</v>
      </c>
      <c r="BB87" s="1" t="n">
        <v>0</v>
      </c>
      <c r="BC87" s="1" t="n">
        <v>0</v>
      </c>
      <c r="BD87" s="1" t="n">
        <v>0</v>
      </c>
      <c r="BE87" s="1" t="n">
        <v>1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</row>
    <row r="88" customFormat="false" ht="16.15" hidden="false" customHeight="false" outlineLevel="0" collapsed="false">
      <c r="A88" s="0" t="str">
        <f aca="false">_xlfn.CONCAT(E88, " ", D88)</f>
        <v>Mr. Donald Velazquez </v>
      </c>
      <c r="B88" s="0" t="str">
        <f aca="false">LEFT(D88, SEARCH(" ",D88,1))</f>
        <v>Donald </v>
      </c>
      <c r="C88" s="5" t="str">
        <f aca="false">RIGHT(D88,LEN(D88)-SEARCH(" ",D88,1))</f>
        <v>Velazquez </v>
      </c>
      <c r="D88" s="1" t="s">
        <v>364</v>
      </c>
      <c r="E88" s="1" t="s">
        <v>66</v>
      </c>
      <c r="F88" s="1" t="s">
        <v>365</v>
      </c>
      <c r="G88" s="1" t="s">
        <v>366</v>
      </c>
      <c r="I88" s="1" t="s">
        <v>93</v>
      </c>
      <c r="J88" s="1" t="n">
        <v>6431</v>
      </c>
      <c r="K88" s="1" t="n">
        <v>0</v>
      </c>
      <c r="M88" s="1" t="s">
        <v>367</v>
      </c>
      <c r="N88" s="1" t="s">
        <v>368</v>
      </c>
      <c r="O88" s="1" t="s">
        <v>237</v>
      </c>
      <c r="Q88" s="1" t="s">
        <v>220</v>
      </c>
      <c r="R88" s="1" t="s">
        <v>70</v>
      </c>
      <c r="S88" s="1" t="s">
        <v>369</v>
      </c>
      <c r="T88" s="6" t="n">
        <v>3529000000000000</v>
      </c>
      <c r="V88" s="1" t="n">
        <v>10147</v>
      </c>
      <c r="W88" s="1" t="n">
        <v>5244</v>
      </c>
      <c r="X88" s="7" t="n">
        <v>0</v>
      </c>
      <c r="Y88" s="7" t="n">
        <v>0.0232210648148148</v>
      </c>
      <c r="Z88" s="1" t="n">
        <v>17.6</v>
      </c>
      <c r="AA88" s="1" t="s">
        <v>371</v>
      </c>
      <c r="AB88" s="7" t="n">
        <v>0</v>
      </c>
      <c r="AC88" s="2" t="n">
        <v>42694</v>
      </c>
      <c r="AD88" s="1" t="s">
        <v>370</v>
      </c>
      <c r="AE88" s="1" t="n">
        <v>93.67</v>
      </c>
      <c r="AF88" s="1" t="s">
        <v>115</v>
      </c>
      <c r="AG88" s="1" t="s">
        <v>85</v>
      </c>
      <c r="AH88" s="1" t="s">
        <v>101</v>
      </c>
      <c r="AI88" s="1" t="s">
        <v>80</v>
      </c>
      <c r="AJ88" s="1" t="s">
        <v>103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1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1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1</v>
      </c>
      <c r="BE88" s="1" t="n">
        <v>0</v>
      </c>
      <c r="BF88" s="1" t="n">
        <v>0</v>
      </c>
      <c r="BG88" s="1" t="n">
        <v>1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</row>
    <row r="89" customFormat="false" ht="16.15" hidden="false" customHeight="false" outlineLevel="0" collapsed="false">
      <c r="A89" s="0" t="str">
        <f aca="false">_xlfn.CONCAT(E89, " ", D89)</f>
        <v>Mr. Harry Brumback </v>
      </c>
      <c r="B89" s="0" t="str">
        <f aca="false">LEFT(D89, SEARCH(" ",D89,1))</f>
        <v>Harry </v>
      </c>
      <c r="C89" s="5" t="str">
        <f aca="false">RIGHT(D89,LEN(D89)-SEARCH(" ",D89,1))</f>
        <v>Brumback </v>
      </c>
      <c r="D89" s="1" t="s">
        <v>372</v>
      </c>
      <c r="E89" s="1" t="s">
        <v>66</v>
      </c>
      <c r="F89" s="1" t="s">
        <v>373</v>
      </c>
      <c r="G89" s="1" t="s">
        <v>374</v>
      </c>
      <c r="H89" s="1" t="s">
        <v>375</v>
      </c>
      <c r="I89" s="1" t="s">
        <v>145</v>
      </c>
      <c r="J89" s="1" t="n">
        <v>27203</v>
      </c>
      <c r="K89" s="1" t="n">
        <v>0</v>
      </c>
      <c r="M89" s="1" t="s">
        <v>376</v>
      </c>
      <c r="N89" s="1" t="s">
        <v>377</v>
      </c>
      <c r="O89" s="1" t="s">
        <v>124</v>
      </c>
      <c r="Q89" s="1" t="s">
        <v>378</v>
      </c>
      <c r="R89" s="1" t="s">
        <v>110</v>
      </c>
      <c r="S89" s="6" t="n">
        <v>783000000000000</v>
      </c>
      <c r="T89" s="6" t="n">
        <v>6011920000000000</v>
      </c>
      <c r="V89" s="1" t="n">
        <v>10151</v>
      </c>
      <c r="W89" s="1" t="n">
        <v>5206</v>
      </c>
      <c r="X89" s="7" t="n">
        <v>0</v>
      </c>
      <c r="Y89" s="7" t="n">
        <v>0.0202106481481481</v>
      </c>
      <c r="Z89" s="1" t="n">
        <v>7.02</v>
      </c>
      <c r="AA89" s="1" t="s">
        <v>76</v>
      </c>
      <c r="AB89" s="7" t="n">
        <v>0</v>
      </c>
      <c r="AC89" s="2" t="n">
        <v>42578</v>
      </c>
      <c r="AD89" s="1" t="n">
        <v>75</v>
      </c>
      <c r="AE89" s="1" t="n">
        <v>47.02</v>
      </c>
      <c r="AF89" s="1" t="s">
        <v>77</v>
      </c>
      <c r="AG89" s="1" t="s">
        <v>85</v>
      </c>
      <c r="AH89" s="1" t="s">
        <v>79</v>
      </c>
      <c r="AI89" s="1" t="s">
        <v>86</v>
      </c>
      <c r="AJ89" s="1" t="s">
        <v>113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1</v>
      </c>
      <c r="AV89" s="1" t="n">
        <v>0</v>
      </c>
      <c r="AW89" s="1" t="n">
        <v>1</v>
      </c>
      <c r="AX89" s="1" t="n">
        <v>1</v>
      </c>
      <c r="AY89" s="1" t="n">
        <v>0</v>
      </c>
      <c r="AZ89" s="1" t="n">
        <v>0</v>
      </c>
      <c r="BA89" s="1" t="n">
        <v>1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</row>
    <row r="90" customFormat="false" ht="16.15" hidden="false" customHeight="false" outlineLevel="0" collapsed="false">
      <c r="A90" s="0" t="str">
        <f aca="false">_xlfn.CONCAT(E90, " ", D90)</f>
        <v>Mr. Harry Brumback </v>
      </c>
      <c r="B90" s="0" t="str">
        <f aca="false">LEFT(D90, SEARCH(" ",D90,1))</f>
        <v>Harry </v>
      </c>
      <c r="C90" s="5" t="str">
        <f aca="false">RIGHT(D90,LEN(D90)-SEARCH(" ",D90,1))</f>
        <v>Brumback </v>
      </c>
      <c r="D90" s="1" t="s">
        <v>372</v>
      </c>
      <c r="E90" s="1" t="s">
        <v>66</v>
      </c>
      <c r="F90" s="1" t="s">
        <v>373</v>
      </c>
      <c r="G90" s="1" t="s">
        <v>374</v>
      </c>
      <c r="H90" s="1" t="s">
        <v>375</v>
      </c>
      <c r="I90" s="1" t="s">
        <v>145</v>
      </c>
      <c r="J90" s="1" t="n">
        <v>27203</v>
      </c>
      <c r="K90" s="1" t="n">
        <v>0</v>
      </c>
      <c r="M90" s="1" t="s">
        <v>376</v>
      </c>
      <c r="N90" s="1" t="s">
        <v>377</v>
      </c>
      <c r="O90" s="1" t="s">
        <v>124</v>
      </c>
      <c r="Q90" s="1" t="s">
        <v>378</v>
      </c>
      <c r="R90" s="1" t="s">
        <v>110</v>
      </c>
      <c r="S90" s="6" t="n">
        <v>783000000000000</v>
      </c>
      <c r="T90" s="6" t="n">
        <v>6011980000000000</v>
      </c>
      <c r="V90" s="1" t="n">
        <v>10151</v>
      </c>
      <c r="W90" s="1" t="n">
        <v>5252</v>
      </c>
      <c r="X90" s="7" t="n">
        <v>0</v>
      </c>
      <c r="Y90" s="7" t="n">
        <v>0.0202106481481481</v>
      </c>
      <c r="Z90" s="1" t="n">
        <v>13.82</v>
      </c>
      <c r="AA90" s="1" t="s">
        <v>125</v>
      </c>
      <c r="AB90" s="7" t="n">
        <v>0</v>
      </c>
      <c r="AC90" s="2" t="n">
        <v>42430</v>
      </c>
      <c r="AD90" s="1" t="n">
        <v>75</v>
      </c>
      <c r="AE90" s="1" t="n">
        <v>217.37</v>
      </c>
      <c r="AF90" s="1" t="s">
        <v>115</v>
      </c>
      <c r="AG90" s="1" t="s">
        <v>85</v>
      </c>
      <c r="AH90" s="1" t="s">
        <v>79</v>
      </c>
      <c r="AI90" s="1" t="s">
        <v>102</v>
      </c>
      <c r="AJ90" s="1" t="s">
        <v>113</v>
      </c>
      <c r="AK90" s="1" t="n">
        <v>0</v>
      </c>
      <c r="AL90" s="1" t="n">
        <v>0</v>
      </c>
      <c r="AM90" s="1" t="n">
        <v>1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1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1</v>
      </c>
      <c r="BA90" s="1" t="n">
        <v>0</v>
      </c>
      <c r="BB90" s="1" t="n">
        <v>0</v>
      </c>
      <c r="BC90" s="1" t="n">
        <v>0</v>
      </c>
      <c r="BD90" s="1" t="n">
        <v>1</v>
      </c>
      <c r="BE90" s="1" t="n">
        <v>0</v>
      </c>
      <c r="BF90" s="1" t="n">
        <v>1</v>
      </c>
      <c r="BG90" s="1" t="n">
        <v>1</v>
      </c>
      <c r="BH90" s="1" t="n">
        <v>0</v>
      </c>
      <c r="BI90" s="1" t="n">
        <v>0</v>
      </c>
      <c r="BJ90" s="1" t="n">
        <v>1</v>
      </c>
      <c r="BK90" s="1" t="n">
        <v>0</v>
      </c>
      <c r="BL90" s="1" t="n">
        <v>0</v>
      </c>
      <c r="BM90" s="1" t="n">
        <v>0</v>
      </c>
    </row>
    <row r="91" customFormat="false" ht="16.15" hidden="false" customHeight="false" outlineLevel="0" collapsed="false">
      <c r="A91" s="0" t="str">
        <f aca="false">_xlfn.CONCAT(E91, " ", D91)</f>
        <v>Mr. Harry Brumback </v>
      </c>
      <c r="B91" s="0" t="str">
        <f aca="false">LEFT(D91, SEARCH(" ",D91,1))</f>
        <v>Harry </v>
      </c>
      <c r="C91" s="5" t="str">
        <f aca="false">RIGHT(D91,LEN(D91)-SEARCH(" ",D91,1))</f>
        <v>Brumback </v>
      </c>
      <c r="D91" s="1" t="s">
        <v>372</v>
      </c>
      <c r="E91" s="1" t="s">
        <v>66</v>
      </c>
      <c r="F91" s="1" t="s">
        <v>373</v>
      </c>
      <c r="G91" s="1" t="s">
        <v>374</v>
      </c>
      <c r="H91" s="1" t="s">
        <v>375</v>
      </c>
      <c r="I91" s="1" t="s">
        <v>145</v>
      </c>
      <c r="J91" s="1" t="n">
        <v>27203</v>
      </c>
      <c r="K91" s="1" t="n">
        <v>0</v>
      </c>
      <c r="M91" s="1" t="s">
        <v>376</v>
      </c>
      <c r="N91" s="1" t="s">
        <v>377</v>
      </c>
      <c r="O91" s="1" t="s">
        <v>124</v>
      </c>
      <c r="Q91" s="1" t="s">
        <v>378</v>
      </c>
      <c r="R91" s="1" t="s">
        <v>110</v>
      </c>
      <c r="S91" s="6" t="n">
        <v>783000000000000</v>
      </c>
      <c r="T91" s="6" t="n">
        <v>6011950000000000</v>
      </c>
      <c r="V91" s="1" t="n">
        <v>10151</v>
      </c>
      <c r="W91" s="1" t="n">
        <v>8270</v>
      </c>
      <c r="X91" s="7" t="n">
        <v>0</v>
      </c>
      <c r="Y91" s="7" t="n">
        <v>0.0164907407407407</v>
      </c>
      <c r="Z91" s="1" t="n">
        <v>14.28</v>
      </c>
      <c r="AA91" s="1" t="s">
        <v>213</v>
      </c>
      <c r="AB91" s="7" t="n">
        <v>0</v>
      </c>
      <c r="AC91" s="2" t="n">
        <v>42719</v>
      </c>
      <c r="AD91" s="1" t="n">
        <v>75</v>
      </c>
      <c r="AE91" s="1" t="n">
        <v>48.8</v>
      </c>
      <c r="AF91" s="1" t="s">
        <v>77</v>
      </c>
      <c r="AG91" s="1" t="s">
        <v>85</v>
      </c>
      <c r="AH91" s="1" t="s">
        <v>79</v>
      </c>
      <c r="AI91" s="1" t="s">
        <v>86</v>
      </c>
      <c r="AJ91" s="1" t="s">
        <v>113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1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</row>
    <row r="92" customFormat="false" ht="16.15" hidden="false" customHeight="false" outlineLevel="0" collapsed="false">
      <c r="A92" s="0" t="str">
        <f aca="false">_xlfn.CONCAT(E92, " ", D92)</f>
        <v>Mr. Harold Magee </v>
      </c>
      <c r="B92" s="0" t="str">
        <f aca="false">LEFT(D92, SEARCH(" ",D92,1))</f>
        <v>Harold </v>
      </c>
      <c r="C92" s="5" t="str">
        <f aca="false">RIGHT(D92,LEN(D92)-SEARCH(" ",D92,1))</f>
        <v>Magee </v>
      </c>
      <c r="D92" s="1" t="s">
        <v>379</v>
      </c>
      <c r="E92" s="1" t="s">
        <v>66</v>
      </c>
      <c r="F92" s="1" t="s">
        <v>380</v>
      </c>
      <c r="G92" s="1" t="s">
        <v>381</v>
      </c>
      <c r="H92" s="1" t="s">
        <v>382</v>
      </c>
      <c r="I92" s="1" t="s">
        <v>145</v>
      </c>
      <c r="J92" s="1" t="n">
        <v>23005</v>
      </c>
      <c r="K92" s="1" t="n">
        <v>0</v>
      </c>
      <c r="M92" s="1" t="s">
        <v>383</v>
      </c>
      <c r="N92" s="1" t="s">
        <v>384</v>
      </c>
      <c r="O92" s="1" t="s">
        <v>148</v>
      </c>
      <c r="Q92" s="1" t="s">
        <v>116</v>
      </c>
      <c r="R92" s="1" t="s">
        <v>385</v>
      </c>
      <c r="S92" s="1" t="s">
        <v>386</v>
      </c>
      <c r="T92" s="6" t="n">
        <v>375518000000000</v>
      </c>
      <c r="V92" s="1" t="n">
        <v>10155</v>
      </c>
      <c r="W92" s="1" t="n">
        <v>1267</v>
      </c>
      <c r="X92" s="7" t="n">
        <v>0</v>
      </c>
      <c r="Y92" s="7" t="n">
        <v>0.0352418981481482</v>
      </c>
      <c r="Z92" s="1" t="n">
        <v>21.97</v>
      </c>
      <c r="AA92" s="1" t="s">
        <v>387</v>
      </c>
      <c r="AB92" s="7" t="n">
        <v>0</v>
      </c>
      <c r="AC92" s="2" t="n">
        <v>42650</v>
      </c>
      <c r="AD92" s="1" t="n">
        <v>40</v>
      </c>
      <c r="AE92" s="1" t="n">
        <v>22.38</v>
      </c>
      <c r="AF92" s="1" t="s">
        <v>77</v>
      </c>
      <c r="AG92" s="1" t="s">
        <v>78</v>
      </c>
      <c r="AH92" s="1" t="s">
        <v>112</v>
      </c>
      <c r="AI92" s="1" t="s">
        <v>86</v>
      </c>
      <c r="AJ92" s="1" t="s">
        <v>81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1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</row>
    <row r="93" customFormat="false" ht="16.15" hidden="false" customHeight="false" outlineLevel="0" collapsed="false">
      <c r="A93" s="0" t="str">
        <f aca="false">_xlfn.CONCAT(E93, " ", D93)</f>
        <v>Mr. Harold Magee </v>
      </c>
      <c r="B93" s="0" t="str">
        <f aca="false">LEFT(D93, SEARCH(" ",D93,1))</f>
        <v>Harold </v>
      </c>
      <c r="C93" s="5" t="str">
        <f aca="false">RIGHT(D93,LEN(D93)-SEARCH(" ",D93,1))</f>
        <v>Magee </v>
      </c>
      <c r="D93" s="1" t="s">
        <v>379</v>
      </c>
      <c r="E93" s="1" t="s">
        <v>66</v>
      </c>
      <c r="F93" s="1" t="s">
        <v>380</v>
      </c>
      <c r="G93" s="1" t="s">
        <v>381</v>
      </c>
      <c r="H93" s="1" t="s">
        <v>382</v>
      </c>
      <c r="I93" s="1" t="s">
        <v>145</v>
      </c>
      <c r="J93" s="1" t="n">
        <v>23005</v>
      </c>
      <c r="K93" s="1" t="n">
        <v>0</v>
      </c>
      <c r="M93" s="1" t="s">
        <v>383</v>
      </c>
      <c r="N93" s="1" t="s">
        <v>384</v>
      </c>
      <c r="O93" s="1" t="s">
        <v>148</v>
      </c>
      <c r="Q93" s="1" t="s">
        <v>116</v>
      </c>
      <c r="R93" s="1" t="s">
        <v>385</v>
      </c>
      <c r="S93" s="1" t="s">
        <v>386</v>
      </c>
      <c r="T93" s="6" t="n">
        <v>343184000000000</v>
      </c>
      <c r="V93" s="1" t="n">
        <v>10155</v>
      </c>
      <c r="W93" s="1" t="n">
        <v>2983</v>
      </c>
      <c r="X93" s="7" t="n">
        <v>0</v>
      </c>
      <c r="Y93" s="7" t="n">
        <v>0.0193865740740741</v>
      </c>
      <c r="Z93" s="1" t="n">
        <v>28.55</v>
      </c>
      <c r="AA93" s="1" t="s">
        <v>248</v>
      </c>
      <c r="AB93" s="7" t="n">
        <v>0</v>
      </c>
      <c r="AC93" s="2" t="n">
        <v>42651</v>
      </c>
      <c r="AD93" s="1" t="n">
        <v>40</v>
      </c>
      <c r="AE93" s="1" t="n">
        <v>17.02</v>
      </c>
      <c r="AF93" s="1" t="s">
        <v>77</v>
      </c>
      <c r="AG93" s="1" t="s">
        <v>78</v>
      </c>
      <c r="AH93" s="1" t="s">
        <v>112</v>
      </c>
      <c r="AI93" s="1" t="s">
        <v>86</v>
      </c>
      <c r="AJ93" s="1" t="s">
        <v>81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1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1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</row>
    <row r="94" customFormat="false" ht="16.15" hidden="false" customHeight="false" outlineLevel="0" collapsed="false">
      <c r="A94" s="0" t="str">
        <f aca="false">_xlfn.CONCAT(E94, " ", D94)</f>
        <v>Mr. Harold Magee </v>
      </c>
      <c r="B94" s="0" t="str">
        <f aca="false">LEFT(D94, SEARCH(" ",D94,1))</f>
        <v>Harold </v>
      </c>
      <c r="C94" s="5" t="str">
        <f aca="false">RIGHT(D94,LEN(D94)-SEARCH(" ",D94,1))</f>
        <v>Magee </v>
      </c>
      <c r="D94" s="1" t="s">
        <v>379</v>
      </c>
      <c r="E94" s="1" t="s">
        <v>66</v>
      </c>
      <c r="F94" s="1" t="s">
        <v>380</v>
      </c>
      <c r="G94" s="1" t="s">
        <v>381</v>
      </c>
      <c r="H94" s="1" t="s">
        <v>382</v>
      </c>
      <c r="I94" s="1" t="s">
        <v>145</v>
      </c>
      <c r="J94" s="1" t="n">
        <v>23005</v>
      </c>
      <c r="K94" s="1" t="n">
        <v>0</v>
      </c>
      <c r="M94" s="1" t="s">
        <v>383</v>
      </c>
      <c r="N94" s="1" t="s">
        <v>384</v>
      </c>
      <c r="O94" s="1" t="s">
        <v>148</v>
      </c>
      <c r="Q94" s="1" t="s">
        <v>116</v>
      </c>
      <c r="R94" s="1" t="s">
        <v>385</v>
      </c>
      <c r="S94" s="1" t="s">
        <v>386</v>
      </c>
      <c r="T94" s="6" t="n">
        <v>376169000000000</v>
      </c>
      <c r="V94" s="1" t="n">
        <v>10155</v>
      </c>
      <c r="W94" s="1" t="n">
        <v>5455</v>
      </c>
      <c r="X94" s="7" t="n">
        <v>0</v>
      </c>
      <c r="Y94" s="7" t="n">
        <v>0.0120902777777778</v>
      </c>
      <c r="Z94" s="1" t="n">
        <v>23.37</v>
      </c>
      <c r="AA94" s="1" t="s">
        <v>117</v>
      </c>
      <c r="AB94" s="7" t="n">
        <v>0</v>
      </c>
      <c r="AC94" s="2" t="n">
        <v>42602</v>
      </c>
      <c r="AD94" s="1" t="n">
        <v>40</v>
      </c>
      <c r="AE94" s="1" t="n">
        <v>19.35</v>
      </c>
      <c r="AF94" s="1" t="s">
        <v>77</v>
      </c>
      <c r="AG94" s="1" t="s">
        <v>78</v>
      </c>
      <c r="AH94" s="1" t="s">
        <v>112</v>
      </c>
      <c r="AI94" s="1" t="s">
        <v>86</v>
      </c>
      <c r="AJ94" s="1" t="s">
        <v>81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1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1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1</v>
      </c>
      <c r="BL94" s="1" t="n">
        <v>0</v>
      </c>
      <c r="BM94" s="1" t="n">
        <v>0</v>
      </c>
    </row>
    <row r="95" customFormat="false" ht="16.15" hidden="false" customHeight="false" outlineLevel="0" collapsed="false">
      <c r="A95" s="0" t="str">
        <f aca="false">_xlfn.CONCAT(E95, " ", D95)</f>
        <v>Mr. Harold Magee </v>
      </c>
      <c r="B95" s="0" t="str">
        <f aca="false">LEFT(D95, SEARCH(" ",D95,1))</f>
        <v>Harold </v>
      </c>
      <c r="C95" s="5" t="str">
        <f aca="false">RIGHT(D95,LEN(D95)-SEARCH(" ",D95,1))</f>
        <v>Magee </v>
      </c>
      <c r="D95" s="1" t="s">
        <v>379</v>
      </c>
      <c r="E95" s="1" t="s">
        <v>66</v>
      </c>
      <c r="F95" s="1" t="s">
        <v>380</v>
      </c>
      <c r="G95" s="1" t="s">
        <v>381</v>
      </c>
      <c r="H95" s="1" t="s">
        <v>382</v>
      </c>
      <c r="I95" s="1" t="s">
        <v>145</v>
      </c>
      <c r="J95" s="1" t="n">
        <v>23005</v>
      </c>
      <c r="K95" s="1" t="n">
        <v>0</v>
      </c>
      <c r="M95" s="1" t="s">
        <v>383</v>
      </c>
      <c r="N95" s="1" t="s">
        <v>384</v>
      </c>
      <c r="O95" s="1" t="s">
        <v>148</v>
      </c>
      <c r="Q95" s="1" t="s">
        <v>116</v>
      </c>
      <c r="R95" s="1" t="s">
        <v>385</v>
      </c>
      <c r="S95" s="1" t="s">
        <v>386</v>
      </c>
      <c r="T95" s="6" t="n">
        <v>344975000000000</v>
      </c>
      <c r="V95" s="1" t="n">
        <v>10155</v>
      </c>
      <c r="W95" s="1" t="n">
        <v>8471</v>
      </c>
      <c r="X95" s="7" t="n">
        <v>0</v>
      </c>
      <c r="Y95" s="7" t="n">
        <v>0.0332476851851852</v>
      </c>
      <c r="Z95" s="1" t="n">
        <v>21.97</v>
      </c>
      <c r="AA95" s="1" t="s">
        <v>203</v>
      </c>
      <c r="AB95" s="7" t="n">
        <v>0</v>
      </c>
      <c r="AC95" s="2" t="n">
        <v>42485</v>
      </c>
      <c r="AD95" s="1" t="n">
        <v>40</v>
      </c>
      <c r="AE95" s="1" t="n">
        <v>30.45</v>
      </c>
      <c r="AF95" s="1" t="s">
        <v>83</v>
      </c>
      <c r="AG95" s="1" t="s">
        <v>78</v>
      </c>
      <c r="AH95" s="1" t="s">
        <v>112</v>
      </c>
      <c r="AI95" s="1" t="s">
        <v>86</v>
      </c>
      <c r="AJ95" s="1" t="s">
        <v>81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1</v>
      </c>
      <c r="AV95" s="1" t="n">
        <v>0</v>
      </c>
      <c r="AW95" s="1" t="n">
        <v>1</v>
      </c>
      <c r="AX95" s="1" t="n">
        <v>0</v>
      </c>
      <c r="AY95" s="1" t="n">
        <v>0</v>
      </c>
      <c r="AZ95" s="1" t="n">
        <v>0</v>
      </c>
      <c r="BA95" s="1" t="n">
        <v>1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</row>
    <row r="96" customFormat="false" ht="16.15" hidden="false" customHeight="false" outlineLevel="0" collapsed="false">
      <c r="A96" s="0" t="str">
        <f aca="false">_xlfn.CONCAT(E96, " ", D96)</f>
        <v>Mr. Harold Magee </v>
      </c>
      <c r="B96" s="0" t="str">
        <f aca="false">LEFT(D96, SEARCH(" ",D96,1))</f>
        <v>Harold </v>
      </c>
      <c r="C96" s="5" t="str">
        <f aca="false">RIGHT(D96,LEN(D96)-SEARCH(" ",D96,1))</f>
        <v>Magee </v>
      </c>
      <c r="D96" s="1" t="s">
        <v>379</v>
      </c>
      <c r="E96" s="1" t="s">
        <v>66</v>
      </c>
      <c r="F96" s="1" t="s">
        <v>388</v>
      </c>
      <c r="G96" s="1" t="s">
        <v>381</v>
      </c>
      <c r="H96" s="1" t="s">
        <v>382</v>
      </c>
      <c r="I96" s="1" t="s">
        <v>145</v>
      </c>
      <c r="J96" s="1" t="n">
        <v>23005</v>
      </c>
      <c r="K96" s="1" t="n">
        <v>0</v>
      </c>
      <c r="M96" s="1" t="s">
        <v>383</v>
      </c>
      <c r="N96" s="1" t="s">
        <v>384</v>
      </c>
      <c r="O96" s="1" t="s">
        <v>148</v>
      </c>
      <c r="Q96" s="1" t="s">
        <v>116</v>
      </c>
      <c r="R96" s="1" t="s">
        <v>385</v>
      </c>
      <c r="S96" s="1" t="s">
        <v>386</v>
      </c>
      <c r="T96" s="6" t="n">
        <v>349153000000000</v>
      </c>
      <c r="V96" s="1" t="n">
        <v>10155</v>
      </c>
      <c r="W96" s="1" t="n">
        <v>8974</v>
      </c>
      <c r="X96" s="7" t="n">
        <v>0</v>
      </c>
      <c r="Y96" s="7" t="n">
        <v>0.0228101851851852</v>
      </c>
      <c r="Z96" s="1" t="n">
        <v>17.6</v>
      </c>
      <c r="AA96" s="1" t="s">
        <v>151</v>
      </c>
      <c r="AB96" s="7" t="n">
        <v>0</v>
      </c>
      <c r="AC96" s="2" t="n">
        <v>42384</v>
      </c>
      <c r="AD96" s="1" t="n">
        <v>40</v>
      </c>
      <c r="AE96" s="1" t="n">
        <v>40.62</v>
      </c>
      <c r="AF96" s="1" t="s">
        <v>77</v>
      </c>
      <c r="AG96" s="1" t="s">
        <v>78</v>
      </c>
      <c r="AH96" s="1" t="s">
        <v>112</v>
      </c>
      <c r="AI96" s="1" t="s">
        <v>86</v>
      </c>
      <c r="AJ96" s="1" t="s">
        <v>81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1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</row>
    <row r="97" customFormat="false" ht="16.15" hidden="false" customHeight="false" outlineLevel="0" collapsed="false">
      <c r="A97" s="0" t="str">
        <f aca="false">_xlfn.CONCAT(E97, " ", D97)</f>
        <v>Mrs. Melba Whitehead </v>
      </c>
      <c r="B97" s="0" t="str">
        <f aca="false">LEFT(D97, SEARCH(" ",D97,1))</f>
        <v>Melba </v>
      </c>
      <c r="C97" s="5" t="str">
        <f aca="false">RIGHT(D97,LEN(D97)-SEARCH(" ",D97,1))</f>
        <v>Whitehead </v>
      </c>
      <c r="D97" s="1" t="s">
        <v>389</v>
      </c>
      <c r="E97" s="1" t="s">
        <v>154</v>
      </c>
      <c r="F97" s="1" t="s">
        <v>390</v>
      </c>
      <c r="G97" s="1" t="s">
        <v>391</v>
      </c>
      <c r="H97" s="1" t="s">
        <v>342</v>
      </c>
      <c r="I97" s="1" t="s">
        <v>288</v>
      </c>
      <c r="J97" s="1" t="n">
        <v>2077</v>
      </c>
      <c r="K97" s="1" t="n">
        <v>0</v>
      </c>
      <c r="M97" s="1" t="s">
        <v>392</v>
      </c>
      <c r="N97" s="1" t="s">
        <v>393</v>
      </c>
      <c r="O97" s="1" t="s">
        <v>148</v>
      </c>
      <c r="Q97" s="1" t="s">
        <v>345</v>
      </c>
      <c r="R97" s="1" t="s">
        <v>121</v>
      </c>
      <c r="S97" s="1" t="s">
        <v>394</v>
      </c>
      <c r="T97" s="6" t="n">
        <v>340547000000000</v>
      </c>
      <c r="V97" s="1" t="n">
        <v>10159</v>
      </c>
      <c r="W97" s="1" t="n">
        <v>601</v>
      </c>
      <c r="X97" s="7" t="n">
        <v>0</v>
      </c>
      <c r="Y97" s="7" t="n">
        <v>0.0307476851851852</v>
      </c>
      <c r="Z97" s="1" t="n">
        <v>33.85</v>
      </c>
      <c r="AA97" s="1" t="s">
        <v>190</v>
      </c>
      <c r="AB97" s="7" t="n">
        <v>0</v>
      </c>
      <c r="AC97" s="2" t="n">
        <v>42724</v>
      </c>
      <c r="AD97" s="1" t="n">
        <v>53</v>
      </c>
      <c r="AE97" s="1" t="n">
        <v>28.95</v>
      </c>
      <c r="AF97" s="1" t="s">
        <v>77</v>
      </c>
      <c r="AG97" s="1" t="s">
        <v>78</v>
      </c>
      <c r="AH97" s="1" t="s">
        <v>112</v>
      </c>
      <c r="AI97" s="1" t="s">
        <v>86</v>
      </c>
      <c r="AJ97" s="1" t="s">
        <v>113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1</v>
      </c>
      <c r="AV97" s="1" t="n">
        <v>0</v>
      </c>
      <c r="AW97" s="1" t="n">
        <v>1</v>
      </c>
      <c r="AX97" s="1" t="n">
        <v>1</v>
      </c>
      <c r="AY97" s="1" t="n">
        <v>0</v>
      </c>
      <c r="AZ97" s="1" t="n">
        <v>0</v>
      </c>
      <c r="BA97" s="1" t="n">
        <v>1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</row>
    <row r="98" customFormat="false" ht="16.15" hidden="false" customHeight="false" outlineLevel="0" collapsed="false">
      <c r="A98" s="0" t="str">
        <f aca="false">_xlfn.CONCAT(E98, " ", D98)</f>
        <v>Mrs. Melba Whitehead </v>
      </c>
      <c r="B98" s="0" t="str">
        <f aca="false">LEFT(D98, SEARCH(" ",D98,1))</f>
        <v>Melba </v>
      </c>
      <c r="C98" s="5" t="str">
        <f aca="false">RIGHT(D98,LEN(D98)-SEARCH(" ",D98,1))</f>
        <v>Whitehead </v>
      </c>
      <c r="D98" s="1" t="s">
        <v>389</v>
      </c>
      <c r="E98" s="1" t="s">
        <v>154</v>
      </c>
      <c r="F98" s="1" t="s">
        <v>390</v>
      </c>
      <c r="G98" s="1" t="s">
        <v>391</v>
      </c>
      <c r="H98" s="1" t="s">
        <v>342</v>
      </c>
      <c r="I98" s="1" t="s">
        <v>288</v>
      </c>
      <c r="J98" s="1" t="n">
        <v>2077</v>
      </c>
      <c r="K98" s="1" t="n">
        <v>0</v>
      </c>
      <c r="M98" s="1" t="s">
        <v>392</v>
      </c>
      <c r="N98" s="1" t="s">
        <v>393</v>
      </c>
      <c r="O98" s="1" t="s">
        <v>148</v>
      </c>
      <c r="Q98" s="1" t="s">
        <v>345</v>
      </c>
      <c r="R98" s="1" t="s">
        <v>121</v>
      </c>
      <c r="S98" s="1" t="s">
        <v>394</v>
      </c>
      <c r="T98" s="6" t="n">
        <v>375976000000000</v>
      </c>
      <c r="V98" s="1" t="n">
        <v>10159</v>
      </c>
      <c r="W98" s="1" t="n">
        <v>810</v>
      </c>
      <c r="X98" s="7" t="n">
        <v>0</v>
      </c>
      <c r="Y98" s="7" t="n">
        <v>0.00794328703703704</v>
      </c>
      <c r="Z98" s="1" t="n">
        <v>7.02</v>
      </c>
      <c r="AA98" s="1" t="s">
        <v>74</v>
      </c>
      <c r="AB98" s="7" t="n">
        <v>0</v>
      </c>
      <c r="AC98" s="2" t="n">
        <v>42541</v>
      </c>
      <c r="AD98" s="1" t="n">
        <v>53</v>
      </c>
      <c r="AE98" s="1" t="n">
        <v>7.89</v>
      </c>
      <c r="AF98" s="1" t="s">
        <v>77</v>
      </c>
      <c r="AG98" s="1" t="s">
        <v>78</v>
      </c>
      <c r="AH98" s="1" t="s">
        <v>112</v>
      </c>
      <c r="AI98" s="1" t="s">
        <v>86</v>
      </c>
      <c r="AJ98" s="1" t="s">
        <v>113</v>
      </c>
      <c r="AK98" s="1" t="n">
        <v>1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</row>
    <row r="99" customFormat="false" ht="16.15" hidden="false" customHeight="false" outlineLevel="0" collapsed="false">
      <c r="A99" s="0" t="str">
        <f aca="false">_xlfn.CONCAT(E99, " ", D99)</f>
        <v>Mrs. Melba Whitehead </v>
      </c>
      <c r="B99" s="0" t="str">
        <f aca="false">LEFT(D99, SEARCH(" ",D99,1))</f>
        <v>Melba </v>
      </c>
      <c r="C99" s="5" t="str">
        <f aca="false">RIGHT(D99,LEN(D99)-SEARCH(" ",D99,1))</f>
        <v>Whitehead </v>
      </c>
      <c r="D99" s="1" t="s">
        <v>389</v>
      </c>
      <c r="E99" s="1" t="s">
        <v>154</v>
      </c>
      <c r="F99" s="1" t="s">
        <v>390</v>
      </c>
      <c r="G99" s="1" t="s">
        <v>391</v>
      </c>
      <c r="H99" s="1" t="s">
        <v>342</v>
      </c>
      <c r="I99" s="1" t="s">
        <v>288</v>
      </c>
      <c r="J99" s="1" t="n">
        <v>2077</v>
      </c>
      <c r="K99" s="1" t="n">
        <v>0</v>
      </c>
      <c r="M99" s="1" t="s">
        <v>392</v>
      </c>
      <c r="N99" s="1" t="s">
        <v>393</v>
      </c>
      <c r="O99" s="1" t="s">
        <v>148</v>
      </c>
      <c r="Q99" s="1" t="s">
        <v>345</v>
      </c>
      <c r="R99" s="1" t="s">
        <v>121</v>
      </c>
      <c r="S99" s="1" t="s">
        <v>394</v>
      </c>
      <c r="T99" s="6" t="n">
        <v>345604000000000</v>
      </c>
      <c r="V99" s="1" t="n">
        <v>10159</v>
      </c>
      <c r="W99" s="1" t="n">
        <v>3072</v>
      </c>
      <c r="X99" s="7" t="n">
        <v>0</v>
      </c>
      <c r="Y99" s="7" t="n">
        <v>0.0304953703703704</v>
      </c>
      <c r="Z99" s="1" t="n">
        <v>11.45</v>
      </c>
      <c r="AA99" s="1" t="s">
        <v>395</v>
      </c>
      <c r="AB99" s="7" t="n">
        <v>0</v>
      </c>
      <c r="AC99" s="2" t="n">
        <v>42716</v>
      </c>
      <c r="AD99" s="1" t="n">
        <v>53</v>
      </c>
      <c r="AE99" s="1" t="n">
        <v>45.27</v>
      </c>
      <c r="AF99" s="1" t="s">
        <v>77</v>
      </c>
      <c r="AG99" s="1" t="s">
        <v>78</v>
      </c>
      <c r="AH99" s="1" t="s">
        <v>112</v>
      </c>
      <c r="AI99" s="1" t="s">
        <v>86</v>
      </c>
      <c r="AJ99" s="1" t="s">
        <v>113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1</v>
      </c>
      <c r="AV99" s="1" t="n">
        <v>0</v>
      </c>
      <c r="AW99" s="1" t="n">
        <v>1</v>
      </c>
      <c r="AX99" s="1" t="n">
        <v>1</v>
      </c>
      <c r="AY99" s="1" t="n">
        <v>0</v>
      </c>
      <c r="AZ99" s="1" t="n">
        <v>0</v>
      </c>
      <c r="BA99" s="1" t="n">
        <v>1</v>
      </c>
      <c r="BB99" s="1" t="n">
        <v>0</v>
      </c>
      <c r="BC99" s="1" t="n">
        <v>0</v>
      </c>
      <c r="BD99" s="1" t="n">
        <v>0</v>
      </c>
      <c r="BE99" s="1" t="n">
        <v>1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</row>
    <row r="100" customFormat="false" ht="16.15" hidden="false" customHeight="false" outlineLevel="0" collapsed="false">
      <c r="A100" s="0" t="str">
        <f aca="false">_xlfn.CONCAT(E100, " ", D100)</f>
        <v>Mrs. Melba Whitehead </v>
      </c>
      <c r="B100" s="0" t="str">
        <f aca="false">LEFT(D100, SEARCH(" ",D100,1))</f>
        <v>Melba </v>
      </c>
      <c r="C100" s="5" t="str">
        <f aca="false">RIGHT(D100,LEN(D100)-SEARCH(" ",D100,1))</f>
        <v>Whitehead </v>
      </c>
      <c r="D100" s="1" t="s">
        <v>389</v>
      </c>
      <c r="E100" s="1" t="s">
        <v>154</v>
      </c>
      <c r="F100" s="1" t="s">
        <v>390</v>
      </c>
      <c r="G100" s="1" t="s">
        <v>391</v>
      </c>
      <c r="H100" s="1" t="s">
        <v>342</v>
      </c>
      <c r="I100" s="1" t="s">
        <v>288</v>
      </c>
      <c r="J100" s="1" t="n">
        <v>2077</v>
      </c>
      <c r="K100" s="1" t="n">
        <v>0</v>
      </c>
      <c r="M100" s="1" t="s">
        <v>392</v>
      </c>
      <c r="N100" s="1" t="s">
        <v>393</v>
      </c>
      <c r="O100" s="1" t="s">
        <v>148</v>
      </c>
      <c r="Q100" s="1" t="s">
        <v>345</v>
      </c>
      <c r="R100" s="1" t="s">
        <v>121</v>
      </c>
      <c r="S100" s="1" t="s">
        <v>394</v>
      </c>
      <c r="T100" s="6" t="n">
        <v>346804000000000</v>
      </c>
      <c r="V100" s="1" t="n">
        <v>10159</v>
      </c>
      <c r="W100" s="1" t="n">
        <v>4170</v>
      </c>
      <c r="X100" s="7" t="n">
        <v>0</v>
      </c>
      <c r="Y100" s="7" t="n">
        <v>0.00531712962962963</v>
      </c>
      <c r="Z100" s="1" t="n">
        <v>16.85</v>
      </c>
      <c r="AA100" s="1" t="s">
        <v>140</v>
      </c>
      <c r="AB100" s="7" t="n">
        <v>0</v>
      </c>
      <c r="AC100" s="2" t="n">
        <v>42688</v>
      </c>
      <c r="AD100" s="1" t="n">
        <v>53</v>
      </c>
      <c r="AE100" s="1" t="n">
        <v>8.46</v>
      </c>
      <c r="AF100" s="1" t="s">
        <v>115</v>
      </c>
      <c r="AG100" s="1" t="s">
        <v>78</v>
      </c>
      <c r="AH100" s="1" t="s">
        <v>112</v>
      </c>
      <c r="AI100" s="1" t="s">
        <v>86</v>
      </c>
      <c r="AJ100" s="1" t="s">
        <v>113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1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</row>
    <row r="101" customFormat="false" ht="16.15" hidden="false" customHeight="false" outlineLevel="0" collapsed="false">
      <c r="A101" s="0" t="str">
        <f aca="false">_xlfn.CONCAT(E101, " ", D101)</f>
        <v>Mrs. Melba Whitehead </v>
      </c>
      <c r="B101" s="0" t="str">
        <f aca="false">LEFT(D101, SEARCH(" ",D101,1))</f>
        <v>Melba </v>
      </c>
      <c r="C101" s="5" t="str">
        <f aca="false">RIGHT(D101,LEN(D101)-SEARCH(" ",D101,1))</f>
        <v>Whitehead </v>
      </c>
      <c r="D101" s="1" t="s">
        <v>389</v>
      </c>
      <c r="E101" s="1" t="s">
        <v>154</v>
      </c>
      <c r="F101" s="1" t="s">
        <v>390</v>
      </c>
      <c r="G101" s="1" t="s">
        <v>391</v>
      </c>
      <c r="H101" s="1" t="s">
        <v>342</v>
      </c>
      <c r="I101" s="1" t="s">
        <v>288</v>
      </c>
      <c r="J101" s="1" t="n">
        <v>2077</v>
      </c>
      <c r="K101" s="1" t="n">
        <v>0</v>
      </c>
      <c r="M101" s="1" t="s">
        <v>392</v>
      </c>
      <c r="N101" s="1" t="s">
        <v>393</v>
      </c>
      <c r="O101" s="1" t="s">
        <v>148</v>
      </c>
      <c r="Q101" s="1" t="s">
        <v>345</v>
      </c>
      <c r="R101" s="1" t="s">
        <v>121</v>
      </c>
      <c r="S101" s="1" t="s">
        <v>394</v>
      </c>
      <c r="T101" s="6" t="n">
        <v>340467000000000</v>
      </c>
      <c r="V101" s="1" t="n">
        <v>10159</v>
      </c>
      <c r="W101" s="1" t="n">
        <v>7795</v>
      </c>
      <c r="X101" s="7" t="n">
        <v>0</v>
      </c>
      <c r="Y101" s="7" t="n">
        <v>0.00794328703703704</v>
      </c>
      <c r="Z101" s="1" t="n">
        <v>16.33</v>
      </c>
      <c r="AA101" s="1" t="s">
        <v>396</v>
      </c>
      <c r="AB101" s="7" t="n">
        <v>0</v>
      </c>
      <c r="AC101" s="2" t="n">
        <v>42541</v>
      </c>
      <c r="AD101" s="1" t="n">
        <v>53</v>
      </c>
      <c r="AE101" s="1" t="n">
        <v>800.9</v>
      </c>
      <c r="AF101" s="1" t="s">
        <v>77</v>
      </c>
      <c r="AG101" s="1" t="s">
        <v>78</v>
      </c>
      <c r="AH101" s="1" t="s">
        <v>112</v>
      </c>
      <c r="AI101" s="1" t="s">
        <v>86</v>
      </c>
      <c r="AJ101" s="1" t="s">
        <v>113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1</v>
      </c>
      <c r="AV101" s="1" t="n">
        <v>0</v>
      </c>
      <c r="AW101" s="1" t="n">
        <v>1</v>
      </c>
      <c r="AX101" s="1" t="n">
        <v>1</v>
      </c>
      <c r="AY101" s="1" t="n">
        <v>0</v>
      </c>
      <c r="AZ101" s="1" t="n">
        <v>0</v>
      </c>
      <c r="BA101" s="1" t="n">
        <v>1</v>
      </c>
      <c r="BB101" s="1" t="n">
        <v>0</v>
      </c>
      <c r="BC101" s="1" t="n">
        <v>0</v>
      </c>
      <c r="BD101" s="1" t="n">
        <v>0</v>
      </c>
      <c r="BE101" s="1" t="n">
        <v>1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</row>
    <row r="102" customFormat="false" ht="16.15" hidden="false" customHeight="false" outlineLevel="0" collapsed="false">
      <c r="A102" s="0" t="str">
        <f aca="false">_xlfn.CONCAT(E102, " ", D102)</f>
        <v>Mr. Ivan Case </v>
      </c>
      <c r="B102" s="0" t="str">
        <f aca="false">LEFT(D102, SEARCH(" ",D102,1))</f>
        <v>Ivan </v>
      </c>
      <c r="C102" s="5" t="str">
        <f aca="false">RIGHT(D102,LEN(D102)-SEARCH(" ",D102,1))</f>
        <v>Case </v>
      </c>
      <c r="D102" s="1" t="s">
        <v>397</v>
      </c>
      <c r="E102" s="1" t="s">
        <v>66</v>
      </c>
      <c r="F102" s="1" t="s">
        <v>398</v>
      </c>
      <c r="G102" s="1" t="s">
        <v>399</v>
      </c>
      <c r="H102" s="1" t="s">
        <v>263</v>
      </c>
      <c r="I102" s="1" t="s">
        <v>145</v>
      </c>
      <c r="J102" s="1" t="n">
        <v>75751</v>
      </c>
      <c r="K102" s="1" t="n">
        <v>0</v>
      </c>
      <c r="M102" s="1" t="s">
        <v>400</v>
      </c>
      <c r="N102" s="1" t="s">
        <v>401</v>
      </c>
      <c r="O102" s="1" t="s">
        <v>200</v>
      </c>
      <c r="Q102" s="1" t="s">
        <v>99</v>
      </c>
      <c r="R102" s="1" t="s">
        <v>75</v>
      </c>
      <c r="S102" s="1" t="n">
        <v>23868154</v>
      </c>
      <c r="T102" s="6" t="n">
        <v>36851600000000</v>
      </c>
      <c r="V102" s="1" t="n">
        <v>10163</v>
      </c>
      <c r="W102" s="1" t="n">
        <v>1566</v>
      </c>
      <c r="X102" s="7" t="n">
        <v>0</v>
      </c>
      <c r="Y102" s="7" t="n">
        <v>0.0232210648148148</v>
      </c>
      <c r="Z102" s="1" t="n">
        <v>6.37</v>
      </c>
      <c r="AA102" s="1" t="s">
        <v>354</v>
      </c>
      <c r="AB102" s="7" t="n">
        <v>0</v>
      </c>
      <c r="AC102" s="2" t="n">
        <v>42724</v>
      </c>
      <c r="AD102" s="1" t="n">
        <v>27</v>
      </c>
      <c r="AE102" s="1" t="n">
        <v>190.12</v>
      </c>
      <c r="AF102" s="1" t="s">
        <v>77</v>
      </c>
      <c r="AG102" s="1" t="s">
        <v>85</v>
      </c>
      <c r="AH102" s="1" t="s">
        <v>101</v>
      </c>
      <c r="AI102" s="1" t="s">
        <v>102</v>
      </c>
      <c r="AJ102" s="1" t="s">
        <v>81</v>
      </c>
      <c r="AK102" s="1" t="n">
        <v>0</v>
      </c>
      <c r="AL102" s="1" t="n">
        <v>1</v>
      </c>
      <c r="AM102" s="1" t="n">
        <v>0</v>
      </c>
      <c r="AN102" s="1" t="n">
        <v>0</v>
      </c>
      <c r="AO102" s="1" t="n">
        <v>0</v>
      </c>
      <c r="AP102" s="1" t="n">
        <v>1</v>
      </c>
      <c r="AQ102" s="1" t="n">
        <v>0</v>
      </c>
      <c r="AR102" s="1" t="n">
        <v>0</v>
      </c>
      <c r="AS102" s="1" t="n">
        <v>0</v>
      </c>
      <c r="AT102" s="1" t="n">
        <v>1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1</v>
      </c>
      <c r="BA102" s="1" t="n">
        <v>0</v>
      </c>
      <c r="BB102" s="1" t="n">
        <v>0</v>
      </c>
      <c r="BC102" s="1" t="n">
        <v>1</v>
      </c>
      <c r="BD102" s="1" t="n">
        <v>0</v>
      </c>
      <c r="BE102" s="1" t="n">
        <v>0</v>
      </c>
      <c r="BF102" s="1" t="n">
        <v>1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</row>
    <row r="103" customFormat="false" ht="16.15" hidden="false" customHeight="false" outlineLevel="0" collapsed="false">
      <c r="A103" s="0" t="str">
        <f aca="false">_xlfn.CONCAT(E103, " ", D103)</f>
        <v>Mr. Ivan Case </v>
      </c>
      <c r="B103" s="0" t="str">
        <f aca="false">LEFT(D103, SEARCH(" ",D103,1))</f>
        <v>Ivan </v>
      </c>
      <c r="C103" s="5" t="str">
        <f aca="false">RIGHT(D103,LEN(D103)-SEARCH(" ",D103,1))</f>
        <v>Case </v>
      </c>
      <c r="D103" s="1" t="s">
        <v>397</v>
      </c>
      <c r="E103" s="1" t="s">
        <v>66</v>
      </c>
      <c r="F103" s="1" t="s">
        <v>398</v>
      </c>
      <c r="G103" s="1" t="s">
        <v>399</v>
      </c>
      <c r="H103" s="1" t="s">
        <v>263</v>
      </c>
      <c r="I103" s="1" t="s">
        <v>145</v>
      </c>
      <c r="J103" s="1" t="n">
        <v>75751</v>
      </c>
      <c r="K103" s="1" t="n">
        <v>0</v>
      </c>
      <c r="M103" s="1" t="s">
        <v>400</v>
      </c>
      <c r="N103" s="1" t="s">
        <v>401</v>
      </c>
      <c r="O103" s="1" t="s">
        <v>200</v>
      </c>
      <c r="Q103" s="1" t="s">
        <v>99</v>
      </c>
      <c r="R103" s="1" t="s">
        <v>75</v>
      </c>
      <c r="S103" s="1" t="n">
        <v>23868154</v>
      </c>
      <c r="T103" s="6" t="n">
        <v>36184000000000</v>
      </c>
      <c r="V103" s="1" t="n">
        <v>10163</v>
      </c>
      <c r="W103" s="1" t="n">
        <v>1740</v>
      </c>
      <c r="X103" s="7" t="n">
        <v>0</v>
      </c>
      <c r="Y103" s="7" t="n">
        <v>0.0255196759259259</v>
      </c>
      <c r="Z103" s="1" t="n">
        <v>13.33</v>
      </c>
      <c r="AA103" s="1" t="s">
        <v>402</v>
      </c>
      <c r="AB103" s="7" t="n">
        <v>0</v>
      </c>
      <c r="AC103" s="2" t="n">
        <v>42571</v>
      </c>
      <c r="AD103" s="1" t="n">
        <v>27</v>
      </c>
      <c r="AE103" s="1" t="n">
        <v>282.85</v>
      </c>
      <c r="AF103" s="1" t="s">
        <v>129</v>
      </c>
      <c r="AG103" s="1" t="s">
        <v>78</v>
      </c>
      <c r="AH103" s="1" t="s">
        <v>101</v>
      </c>
      <c r="AI103" s="1" t="s">
        <v>102</v>
      </c>
      <c r="AJ103" s="1" t="s">
        <v>81</v>
      </c>
      <c r="AK103" s="1" t="n">
        <v>0</v>
      </c>
      <c r="AL103" s="1" t="n">
        <v>0</v>
      </c>
      <c r="AM103" s="1" t="n">
        <v>1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1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1</v>
      </c>
      <c r="AZ103" s="1" t="n">
        <v>1</v>
      </c>
      <c r="BA103" s="1" t="n">
        <v>0</v>
      </c>
      <c r="BB103" s="1" t="n">
        <v>1</v>
      </c>
      <c r="BC103" s="1" t="n">
        <v>0</v>
      </c>
      <c r="BD103" s="1" t="n">
        <v>0</v>
      </c>
      <c r="BE103" s="1" t="n">
        <v>0</v>
      </c>
      <c r="BF103" s="1" t="n">
        <v>1</v>
      </c>
      <c r="BG103" s="1" t="n">
        <v>0</v>
      </c>
      <c r="BH103" s="1" t="n">
        <v>1</v>
      </c>
      <c r="BI103" s="1" t="n">
        <v>0</v>
      </c>
      <c r="BJ103" s="1" t="n">
        <v>0</v>
      </c>
      <c r="BK103" s="1" t="n">
        <v>0</v>
      </c>
      <c r="BL103" s="1" t="n">
        <v>1</v>
      </c>
      <c r="BM103" s="1" t="n">
        <v>1</v>
      </c>
    </row>
    <row r="104" customFormat="false" ht="16.15" hidden="false" customHeight="false" outlineLevel="0" collapsed="false">
      <c r="A104" s="0" t="str">
        <f aca="false">_xlfn.CONCAT(E104, " ", D104)</f>
        <v>Mr. Bob Davenport </v>
      </c>
      <c r="B104" s="0" t="str">
        <f aca="false">LEFT(D104, SEARCH(" ",D104,1))</f>
        <v>Bob </v>
      </c>
      <c r="C104" s="5" t="str">
        <f aca="false">RIGHT(D104,LEN(D104)-SEARCH(" ",D104,1))</f>
        <v>Davenport </v>
      </c>
      <c r="D104" s="1" t="s">
        <v>403</v>
      </c>
      <c r="E104" s="1" t="s">
        <v>66</v>
      </c>
      <c r="F104" s="1" t="s">
        <v>404</v>
      </c>
      <c r="G104" s="1" t="s">
        <v>405</v>
      </c>
      <c r="H104" s="1" t="s">
        <v>406</v>
      </c>
      <c r="I104" s="1" t="s">
        <v>145</v>
      </c>
      <c r="J104" s="1" t="n">
        <v>30345</v>
      </c>
      <c r="K104" s="1" t="n">
        <v>0</v>
      </c>
      <c r="M104" s="1" t="s">
        <v>407</v>
      </c>
      <c r="N104" s="1" t="s">
        <v>408</v>
      </c>
      <c r="O104" s="1" t="s">
        <v>124</v>
      </c>
      <c r="Q104" s="1" t="s">
        <v>204</v>
      </c>
      <c r="R104" s="1" t="s">
        <v>110</v>
      </c>
      <c r="S104" s="6" t="n">
        <v>128000000000000</v>
      </c>
      <c r="T104" s="6" t="n">
        <v>6011110000000000</v>
      </c>
      <c r="V104" s="1" t="n">
        <v>10167</v>
      </c>
      <c r="W104" s="1" t="n">
        <v>1901</v>
      </c>
      <c r="X104" s="7" t="n">
        <v>0</v>
      </c>
      <c r="Y104" s="7" t="n">
        <v>0.00794328703703704</v>
      </c>
      <c r="Z104" s="1" t="n">
        <v>11.88</v>
      </c>
      <c r="AA104" s="1" t="s">
        <v>356</v>
      </c>
      <c r="AB104" s="7" t="n">
        <v>0</v>
      </c>
      <c r="AC104" s="2" t="n">
        <v>42623</v>
      </c>
      <c r="AD104" s="1" t="s">
        <v>100</v>
      </c>
      <c r="AE104" s="1" t="n">
        <v>267.24</v>
      </c>
      <c r="AF104" s="1" t="s">
        <v>77</v>
      </c>
      <c r="AG104" s="1" t="s">
        <v>78</v>
      </c>
      <c r="AH104" s="1" t="s">
        <v>79</v>
      </c>
      <c r="AI104" s="1" t="s">
        <v>102</v>
      </c>
      <c r="AJ104" s="1" t="s">
        <v>103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1</v>
      </c>
      <c r="AR104" s="1" t="n">
        <v>0</v>
      </c>
      <c r="AS104" s="1" t="n">
        <v>0</v>
      </c>
      <c r="AT104" s="1" t="n">
        <v>1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1</v>
      </c>
      <c r="BA104" s="1" t="n">
        <v>0</v>
      </c>
      <c r="BB104" s="1" t="n">
        <v>1</v>
      </c>
      <c r="BC104" s="1" t="n">
        <v>0</v>
      </c>
      <c r="BD104" s="1" t="n">
        <v>1</v>
      </c>
      <c r="BE104" s="1" t="n">
        <v>0</v>
      </c>
      <c r="BF104" s="1" t="n">
        <v>0</v>
      </c>
      <c r="BG104" s="1" t="n">
        <v>0</v>
      </c>
      <c r="BH104" s="1" t="n">
        <v>1</v>
      </c>
      <c r="BI104" s="1" t="n">
        <v>0</v>
      </c>
      <c r="BJ104" s="1" t="n">
        <v>1</v>
      </c>
      <c r="BK104" s="1" t="n">
        <v>0</v>
      </c>
      <c r="BL104" s="1" t="n">
        <v>0</v>
      </c>
      <c r="BM104" s="1" t="n">
        <v>1</v>
      </c>
    </row>
    <row r="105" customFormat="false" ht="16.15" hidden="false" customHeight="false" outlineLevel="0" collapsed="false">
      <c r="A105" s="0" t="str">
        <f aca="false">_xlfn.CONCAT(E105, " ", D105)</f>
        <v>Mrs. Jennifer Howard </v>
      </c>
      <c r="B105" s="0" t="str">
        <f aca="false">LEFT(D105, SEARCH(" ",D105,1))</f>
        <v>Jennifer </v>
      </c>
      <c r="C105" s="5" t="str">
        <f aca="false">RIGHT(D105,LEN(D105)-SEARCH(" ",D105,1))</f>
        <v>Howard </v>
      </c>
      <c r="D105" s="1" t="s">
        <v>409</v>
      </c>
      <c r="E105" s="1" t="s">
        <v>154</v>
      </c>
      <c r="F105" s="1" t="s">
        <v>410</v>
      </c>
      <c r="G105" s="1" t="s">
        <v>405</v>
      </c>
      <c r="H105" s="1" t="s">
        <v>406</v>
      </c>
      <c r="I105" s="1" t="s">
        <v>145</v>
      </c>
      <c r="J105" s="1" t="n">
        <v>30329</v>
      </c>
      <c r="K105" s="1" t="n">
        <v>0</v>
      </c>
      <c r="M105" s="1" t="s">
        <v>411</v>
      </c>
      <c r="N105" s="1" t="s">
        <v>412</v>
      </c>
      <c r="O105" s="1" t="s">
        <v>124</v>
      </c>
      <c r="Q105" s="1" t="s">
        <v>258</v>
      </c>
      <c r="R105" s="1" t="s">
        <v>70</v>
      </c>
      <c r="S105" s="1" t="s">
        <v>413</v>
      </c>
      <c r="T105" s="6" t="n">
        <v>6011560000000000</v>
      </c>
      <c r="V105" s="1" t="n">
        <v>10171</v>
      </c>
      <c r="W105" s="1" t="n">
        <v>2171</v>
      </c>
      <c r="X105" s="7" t="n">
        <v>0</v>
      </c>
      <c r="Y105" s="7" t="n">
        <v>0.0407974537037037</v>
      </c>
      <c r="Z105" s="1" t="n">
        <v>18.99</v>
      </c>
      <c r="AA105" s="1" t="s">
        <v>221</v>
      </c>
      <c r="AB105" s="7" t="n">
        <v>0</v>
      </c>
      <c r="AC105" s="2" t="n">
        <v>42520</v>
      </c>
      <c r="AD105" s="1" t="s">
        <v>100</v>
      </c>
      <c r="AE105" s="1" t="n">
        <v>50.67</v>
      </c>
      <c r="AF105" s="1" t="s">
        <v>77</v>
      </c>
      <c r="AG105" s="1" t="s">
        <v>78</v>
      </c>
      <c r="AH105" s="1" t="s">
        <v>101</v>
      </c>
      <c r="AI105" s="1" t="s">
        <v>86</v>
      </c>
      <c r="AJ105" s="1" t="s">
        <v>103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1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</row>
    <row r="106" customFormat="false" ht="16.15" hidden="false" customHeight="false" outlineLevel="0" collapsed="false">
      <c r="A106" s="0" t="str">
        <f aca="false">_xlfn.CONCAT(E106, " ", D106)</f>
        <v>Mrs. Jennifer Howard </v>
      </c>
      <c r="B106" s="0" t="str">
        <f aca="false">LEFT(D106, SEARCH(" ",D106,1))</f>
        <v>Jennifer </v>
      </c>
      <c r="C106" s="5" t="str">
        <f aca="false">RIGHT(D106,LEN(D106)-SEARCH(" ",D106,1))</f>
        <v>Howard </v>
      </c>
      <c r="D106" s="1" t="s">
        <v>409</v>
      </c>
      <c r="E106" s="1" t="s">
        <v>154</v>
      </c>
      <c r="F106" s="1" t="s">
        <v>410</v>
      </c>
      <c r="G106" s="1" t="s">
        <v>405</v>
      </c>
      <c r="H106" s="1" t="s">
        <v>406</v>
      </c>
      <c r="I106" s="1" t="s">
        <v>145</v>
      </c>
      <c r="J106" s="1" t="n">
        <v>30329</v>
      </c>
      <c r="K106" s="1" t="n">
        <v>0</v>
      </c>
      <c r="M106" s="1" t="s">
        <v>411</v>
      </c>
      <c r="N106" s="1" t="s">
        <v>412</v>
      </c>
      <c r="O106" s="1" t="s">
        <v>124</v>
      </c>
      <c r="Q106" s="1" t="s">
        <v>258</v>
      </c>
      <c r="R106" s="1" t="s">
        <v>70</v>
      </c>
      <c r="S106" s="1" t="s">
        <v>413</v>
      </c>
      <c r="T106" s="6" t="n">
        <v>6011650000000000</v>
      </c>
      <c r="V106" s="1" t="n">
        <v>10171</v>
      </c>
      <c r="W106" s="1" t="n">
        <v>7867</v>
      </c>
      <c r="X106" s="7" t="n">
        <v>0</v>
      </c>
      <c r="Y106" s="7" t="n">
        <v>0.0202106481481481</v>
      </c>
      <c r="Z106" s="1" t="n">
        <v>8.99</v>
      </c>
      <c r="AA106" s="1" t="s">
        <v>139</v>
      </c>
      <c r="AB106" s="7" t="n">
        <v>0</v>
      </c>
      <c r="AC106" s="2" t="n">
        <v>42574</v>
      </c>
      <c r="AD106" s="1" t="s">
        <v>100</v>
      </c>
      <c r="AE106" s="1" t="n">
        <v>26.97</v>
      </c>
      <c r="AF106" s="1" t="s">
        <v>115</v>
      </c>
      <c r="AG106" s="1" t="s">
        <v>78</v>
      </c>
      <c r="AH106" s="1" t="s">
        <v>101</v>
      </c>
      <c r="AI106" s="1" t="s">
        <v>86</v>
      </c>
      <c r="AJ106" s="1" t="s">
        <v>103</v>
      </c>
      <c r="AK106" s="1" t="n">
        <v>0</v>
      </c>
      <c r="AL106" s="1" t="n">
        <v>0</v>
      </c>
      <c r="AM106" s="1" t="n">
        <v>1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1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</row>
    <row r="107" customFormat="false" ht="16.15" hidden="false" customHeight="false" outlineLevel="0" collapsed="false">
      <c r="A107" s="0" t="str">
        <f aca="false">_xlfn.CONCAT(E107, " ", D107)</f>
        <v>Mrs. Jennifer Howard </v>
      </c>
      <c r="B107" s="0" t="str">
        <f aca="false">LEFT(D107, SEARCH(" ",D107,1))</f>
        <v>Jennifer </v>
      </c>
      <c r="C107" s="5" t="str">
        <f aca="false">RIGHT(D107,LEN(D107)-SEARCH(" ",D107,1))</f>
        <v>Howard </v>
      </c>
      <c r="D107" s="1" t="s">
        <v>409</v>
      </c>
      <c r="E107" s="1" t="s">
        <v>154</v>
      </c>
      <c r="F107" s="1" t="s">
        <v>410</v>
      </c>
      <c r="G107" s="1" t="s">
        <v>405</v>
      </c>
      <c r="H107" s="1" t="s">
        <v>406</v>
      </c>
      <c r="I107" s="1" t="s">
        <v>145</v>
      </c>
      <c r="J107" s="1" t="n">
        <v>30329</v>
      </c>
      <c r="K107" s="1" t="n">
        <v>0</v>
      </c>
      <c r="M107" s="1" t="s">
        <v>411</v>
      </c>
      <c r="N107" s="1" t="s">
        <v>412</v>
      </c>
      <c r="O107" s="1" t="s">
        <v>124</v>
      </c>
      <c r="Q107" s="1" t="s">
        <v>258</v>
      </c>
      <c r="R107" s="1" t="s">
        <v>70</v>
      </c>
      <c r="S107" s="1" t="s">
        <v>413</v>
      </c>
      <c r="T107" s="6" t="n">
        <v>6011970000000000</v>
      </c>
      <c r="V107" s="1" t="n">
        <v>10171</v>
      </c>
      <c r="W107" s="1" t="n">
        <v>8182</v>
      </c>
      <c r="X107" s="7" t="n">
        <v>0</v>
      </c>
      <c r="Y107" s="7" t="n">
        <v>0.0157013888888889</v>
      </c>
      <c r="Z107" s="1" t="n">
        <v>6.87</v>
      </c>
      <c r="AA107" s="1" t="s">
        <v>414</v>
      </c>
      <c r="AB107" s="7" t="n">
        <v>0</v>
      </c>
      <c r="AC107" s="2" t="n">
        <v>42509</v>
      </c>
      <c r="AD107" s="1" t="s">
        <v>100</v>
      </c>
      <c r="AE107" s="1" t="n">
        <v>7.12</v>
      </c>
      <c r="AF107" s="1" t="s">
        <v>77</v>
      </c>
      <c r="AG107" s="1" t="s">
        <v>78</v>
      </c>
      <c r="AH107" s="1" t="s">
        <v>101</v>
      </c>
      <c r="AI107" s="1" t="s">
        <v>86</v>
      </c>
      <c r="AJ107" s="1" t="s">
        <v>103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1</v>
      </c>
      <c r="AV107" s="1" t="n">
        <v>0</v>
      </c>
      <c r="AW107" s="1" t="n">
        <v>1</v>
      </c>
      <c r="AX107" s="1" t="n">
        <v>1</v>
      </c>
      <c r="AY107" s="1" t="n">
        <v>0</v>
      </c>
      <c r="AZ107" s="1" t="n">
        <v>0</v>
      </c>
      <c r="BA107" s="1" t="n">
        <v>1</v>
      </c>
      <c r="BB107" s="1" t="n">
        <v>0</v>
      </c>
      <c r="BC107" s="1" t="n">
        <v>0</v>
      </c>
      <c r="BD107" s="1" t="n">
        <v>0</v>
      </c>
      <c r="BE107" s="1" t="n">
        <v>1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</row>
    <row r="108" customFormat="false" ht="16.15" hidden="false" customHeight="false" outlineLevel="0" collapsed="false">
      <c r="A108" s="0" t="str">
        <f aca="false">_xlfn.CONCAT(E108, " ", D108)</f>
        <v>Mrs. Jana Hall </v>
      </c>
      <c r="B108" s="0" t="str">
        <f aca="false">LEFT(D108, SEARCH(" ",D108,1))</f>
        <v>Jana </v>
      </c>
      <c r="C108" s="5" t="str">
        <f aca="false">RIGHT(D108,LEN(D108)-SEARCH(" ",D108,1))</f>
        <v>Hall </v>
      </c>
      <c r="D108" s="1" t="s">
        <v>415</v>
      </c>
      <c r="E108" s="1" t="s">
        <v>154</v>
      </c>
      <c r="F108" s="1" t="s">
        <v>416</v>
      </c>
      <c r="G108" s="1" t="s">
        <v>417</v>
      </c>
      <c r="H108" s="1" t="s">
        <v>418</v>
      </c>
      <c r="I108" s="1" t="s">
        <v>145</v>
      </c>
      <c r="J108" s="1" t="n">
        <v>8401</v>
      </c>
      <c r="K108" s="1" t="n">
        <v>0</v>
      </c>
      <c r="M108" s="1" t="s">
        <v>419</v>
      </c>
      <c r="N108" s="1" t="s">
        <v>420</v>
      </c>
      <c r="O108" s="1" t="s">
        <v>148</v>
      </c>
      <c r="Q108" s="1" t="s">
        <v>421</v>
      </c>
      <c r="R108" s="1" t="s">
        <v>121</v>
      </c>
      <c r="S108" s="1" t="s">
        <v>422</v>
      </c>
      <c r="T108" s="6" t="n">
        <v>370602000000000</v>
      </c>
      <c r="V108" s="1" t="n">
        <v>10179</v>
      </c>
      <c r="W108" s="1" t="n">
        <v>5684</v>
      </c>
      <c r="X108" s="7" t="n">
        <v>0</v>
      </c>
      <c r="Y108" s="7" t="n">
        <v>0.00965972222222222</v>
      </c>
      <c r="Z108" s="1" t="n">
        <v>18.99</v>
      </c>
      <c r="AA108" s="1" t="s">
        <v>268</v>
      </c>
      <c r="AB108" s="7" t="n">
        <v>0</v>
      </c>
      <c r="AC108" s="2" t="n">
        <v>42554</v>
      </c>
      <c r="AD108" s="1" t="n">
        <v>30</v>
      </c>
      <c r="AE108" s="1" t="n">
        <v>29.89</v>
      </c>
      <c r="AF108" s="1" t="s">
        <v>77</v>
      </c>
      <c r="AG108" s="1" t="s">
        <v>78</v>
      </c>
      <c r="AH108" s="1" t="s">
        <v>112</v>
      </c>
      <c r="AI108" s="1" t="s">
        <v>86</v>
      </c>
      <c r="AJ108" s="1" t="s">
        <v>81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1</v>
      </c>
      <c r="AV108" s="1" t="n">
        <v>0</v>
      </c>
      <c r="AW108" s="1" t="n">
        <v>1</v>
      </c>
      <c r="AX108" s="1" t="n">
        <v>1</v>
      </c>
      <c r="AY108" s="1" t="n">
        <v>0</v>
      </c>
      <c r="AZ108" s="1" t="n">
        <v>0</v>
      </c>
      <c r="BA108" s="1" t="n">
        <v>1</v>
      </c>
      <c r="BB108" s="1" t="n">
        <v>0</v>
      </c>
      <c r="BC108" s="1" t="n">
        <v>0</v>
      </c>
      <c r="BD108" s="1" t="n">
        <v>0</v>
      </c>
      <c r="BE108" s="1" t="n">
        <v>1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</row>
    <row r="109" customFormat="false" ht="16.15" hidden="false" customHeight="false" outlineLevel="0" collapsed="false">
      <c r="A109" s="0" t="str">
        <f aca="false">_xlfn.CONCAT(E109, " ", D109)</f>
        <v>Mrs. Jana Hall </v>
      </c>
      <c r="B109" s="0" t="str">
        <f aca="false">LEFT(D109, SEARCH(" ",D109,1))</f>
        <v>Jana </v>
      </c>
      <c r="C109" s="5" t="str">
        <f aca="false">RIGHT(D109,LEN(D109)-SEARCH(" ",D109,1))</f>
        <v>Hall </v>
      </c>
      <c r="D109" s="1" t="s">
        <v>415</v>
      </c>
      <c r="E109" s="1" t="s">
        <v>154</v>
      </c>
      <c r="F109" s="1" t="s">
        <v>416</v>
      </c>
      <c r="G109" s="1" t="s">
        <v>417</v>
      </c>
      <c r="H109" s="1" t="s">
        <v>418</v>
      </c>
      <c r="I109" s="1" t="s">
        <v>145</v>
      </c>
      <c r="J109" s="1" t="n">
        <v>8401</v>
      </c>
      <c r="K109" s="1" t="n">
        <v>0</v>
      </c>
      <c r="M109" s="1" t="s">
        <v>419</v>
      </c>
      <c r="N109" s="1" t="s">
        <v>420</v>
      </c>
      <c r="O109" s="1" t="s">
        <v>148</v>
      </c>
      <c r="Q109" s="1" t="s">
        <v>421</v>
      </c>
      <c r="R109" s="1" t="s">
        <v>121</v>
      </c>
      <c r="S109" s="1" t="s">
        <v>422</v>
      </c>
      <c r="T109" s="6" t="n">
        <v>340179000000000</v>
      </c>
      <c r="V109" s="1" t="n">
        <v>10179</v>
      </c>
      <c r="W109" s="1" t="n">
        <v>8402</v>
      </c>
      <c r="X109" s="7" t="n">
        <v>0</v>
      </c>
      <c r="Y109" s="7" t="n">
        <v>0.0304699074074074</v>
      </c>
      <c r="Z109" s="1" t="n">
        <v>23.37</v>
      </c>
      <c r="AA109" s="1" t="s">
        <v>149</v>
      </c>
      <c r="AB109" s="7" t="n">
        <v>0</v>
      </c>
      <c r="AC109" s="2" t="n">
        <v>42394</v>
      </c>
      <c r="AD109" s="1" t="n">
        <v>30</v>
      </c>
      <c r="AE109" s="1" t="n">
        <v>49.78</v>
      </c>
      <c r="AF109" s="1" t="s">
        <v>129</v>
      </c>
      <c r="AG109" s="1" t="s">
        <v>78</v>
      </c>
      <c r="AH109" s="1" t="s">
        <v>112</v>
      </c>
      <c r="AI109" s="1" t="s">
        <v>86</v>
      </c>
      <c r="AJ109" s="1" t="s">
        <v>81</v>
      </c>
      <c r="AK109" s="1" t="n">
        <v>0</v>
      </c>
      <c r="AL109" s="1" t="n">
        <v>1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1</v>
      </c>
      <c r="AT109" s="1" t="n">
        <v>0</v>
      </c>
      <c r="AU109" s="1" t="n">
        <v>1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</row>
    <row r="110" customFormat="false" ht="16.15" hidden="false" customHeight="false" outlineLevel="0" collapsed="false">
      <c r="A110" s="0" t="str">
        <f aca="false">_xlfn.CONCAT(E110, " ", D110)</f>
        <v>Mrs. Arlene Cruz </v>
      </c>
      <c r="B110" s="0" t="str">
        <f aca="false">LEFT(D110, SEARCH(" ",D110,1))</f>
        <v>Arlene </v>
      </c>
      <c r="C110" s="5" t="str">
        <f aca="false">RIGHT(D110,LEN(D110)-SEARCH(" ",D110,1))</f>
        <v>Cruz </v>
      </c>
      <c r="D110" s="1" t="s">
        <v>423</v>
      </c>
      <c r="E110" s="1" t="s">
        <v>154</v>
      </c>
      <c r="F110" s="1" t="s">
        <v>424</v>
      </c>
      <c r="G110" s="1" t="s">
        <v>425</v>
      </c>
      <c r="H110" s="1" t="s">
        <v>426</v>
      </c>
      <c r="I110" s="1" t="s">
        <v>145</v>
      </c>
      <c r="J110" s="1" t="n">
        <v>98002</v>
      </c>
      <c r="K110" s="1" t="n">
        <v>0</v>
      </c>
      <c r="M110" s="1" t="s">
        <v>427</v>
      </c>
      <c r="N110" s="1" t="s">
        <v>428</v>
      </c>
      <c r="O110" s="1" t="s">
        <v>237</v>
      </c>
      <c r="Q110" s="1" t="s">
        <v>317</v>
      </c>
      <c r="R110" s="1" t="s">
        <v>70</v>
      </c>
      <c r="S110" s="1" t="s">
        <v>429</v>
      </c>
      <c r="T110" s="6" t="n">
        <v>3528030000000000</v>
      </c>
      <c r="V110" s="1" t="n">
        <v>10183</v>
      </c>
      <c r="W110" s="1" t="n">
        <v>2269</v>
      </c>
      <c r="X110" s="7" t="n">
        <v>0</v>
      </c>
      <c r="Y110" s="7" t="n">
        <v>0.022744212962963</v>
      </c>
      <c r="Z110" s="1" t="n">
        <v>7.12</v>
      </c>
      <c r="AA110" s="1" t="s">
        <v>192</v>
      </c>
      <c r="AB110" s="7" t="n">
        <v>0</v>
      </c>
      <c r="AC110" s="2" t="n">
        <v>42536</v>
      </c>
      <c r="AD110" s="1" t="n">
        <v>35</v>
      </c>
      <c r="AE110" s="1" t="n">
        <v>30.79</v>
      </c>
      <c r="AF110" s="1" t="s">
        <v>77</v>
      </c>
      <c r="AG110" s="1" t="s">
        <v>78</v>
      </c>
      <c r="AH110" s="1" t="s">
        <v>112</v>
      </c>
      <c r="AI110" s="1" t="s">
        <v>86</v>
      </c>
      <c r="AJ110" s="1" t="s">
        <v>81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1</v>
      </c>
      <c r="AV110" s="1" t="n">
        <v>0</v>
      </c>
      <c r="AW110" s="1" t="n">
        <v>1</v>
      </c>
      <c r="AX110" s="1" t="n">
        <v>1</v>
      </c>
      <c r="AY110" s="1" t="n">
        <v>0</v>
      </c>
      <c r="AZ110" s="1" t="n">
        <v>0</v>
      </c>
      <c r="BA110" s="1" t="n">
        <v>1</v>
      </c>
      <c r="BB110" s="1" t="n">
        <v>0</v>
      </c>
      <c r="BC110" s="1" t="n">
        <v>0</v>
      </c>
      <c r="BD110" s="1" t="n">
        <v>0</v>
      </c>
      <c r="BE110" s="1" t="n">
        <v>1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</row>
    <row r="111" customFormat="false" ht="16.15" hidden="false" customHeight="false" outlineLevel="0" collapsed="false">
      <c r="A111" s="0" t="str">
        <f aca="false">_xlfn.CONCAT(E111, " ", D111)</f>
        <v>Mrs. Arlene Cruz </v>
      </c>
      <c r="B111" s="0" t="str">
        <f aca="false">LEFT(D111, SEARCH(" ",D111,1))</f>
        <v>Arlene </v>
      </c>
      <c r="C111" s="5" t="str">
        <f aca="false">RIGHT(D111,LEN(D111)-SEARCH(" ",D111,1))</f>
        <v>Cruz </v>
      </c>
      <c r="D111" s="1" t="s">
        <v>423</v>
      </c>
      <c r="E111" s="1" t="s">
        <v>154</v>
      </c>
      <c r="F111" s="1" t="s">
        <v>424</v>
      </c>
      <c r="G111" s="1" t="s">
        <v>425</v>
      </c>
      <c r="H111" s="1" t="s">
        <v>426</v>
      </c>
      <c r="I111" s="1" t="s">
        <v>145</v>
      </c>
      <c r="J111" s="1" t="n">
        <v>98002</v>
      </c>
      <c r="K111" s="1" t="n">
        <v>0</v>
      </c>
      <c r="M111" s="1" t="s">
        <v>427</v>
      </c>
      <c r="N111" s="1" t="s">
        <v>428</v>
      </c>
      <c r="O111" s="1" t="s">
        <v>237</v>
      </c>
      <c r="Q111" s="1" t="s">
        <v>317</v>
      </c>
      <c r="R111" s="1" t="s">
        <v>70</v>
      </c>
      <c r="S111" s="1" t="s">
        <v>429</v>
      </c>
      <c r="T111" s="6" t="n">
        <v>3528500000000000</v>
      </c>
      <c r="V111" s="1" t="n">
        <v>10183</v>
      </c>
      <c r="W111" s="1" t="n">
        <v>6950</v>
      </c>
      <c r="X111" s="7" t="n">
        <v>0</v>
      </c>
      <c r="Y111" s="7" t="n">
        <v>0.0193935185185185</v>
      </c>
      <c r="Z111" s="1" t="n">
        <v>10.45</v>
      </c>
      <c r="AA111" s="1" t="s">
        <v>276</v>
      </c>
      <c r="AB111" s="7" t="n">
        <v>0</v>
      </c>
      <c r="AC111" s="2" t="n">
        <v>42649</v>
      </c>
      <c r="AD111" s="1" t="n">
        <v>35</v>
      </c>
      <c r="AE111" s="1" t="n">
        <v>42.66</v>
      </c>
      <c r="AF111" s="1" t="s">
        <v>77</v>
      </c>
      <c r="AG111" s="1" t="s">
        <v>78</v>
      </c>
      <c r="AH111" s="1" t="s">
        <v>112</v>
      </c>
      <c r="AI111" s="1" t="s">
        <v>86</v>
      </c>
      <c r="AJ111" s="1" t="s">
        <v>81</v>
      </c>
      <c r="AK111" s="1" t="n">
        <v>0</v>
      </c>
      <c r="AL111" s="1" t="n">
        <v>1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1</v>
      </c>
      <c r="AT111" s="1" t="n">
        <v>0</v>
      </c>
      <c r="AU111" s="1" t="n">
        <v>1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</row>
    <row r="112" customFormat="false" ht="16.15" hidden="false" customHeight="false" outlineLevel="0" collapsed="false">
      <c r="A112" s="0" t="str">
        <f aca="false">_xlfn.CONCAT(E112, " ", D112)</f>
        <v>Mrs. Mildred Carey </v>
      </c>
      <c r="B112" s="0" t="str">
        <f aca="false">LEFT(D112, SEARCH(" ",D112,1))</f>
        <v>Mildred </v>
      </c>
      <c r="C112" s="5" t="str">
        <f aca="false">RIGHT(D112,LEN(D112)-SEARCH(" ",D112,1))</f>
        <v>Carey </v>
      </c>
      <c r="D112" s="1" t="s">
        <v>430</v>
      </c>
      <c r="E112" s="1" t="s">
        <v>154</v>
      </c>
      <c r="F112" s="1" t="s">
        <v>431</v>
      </c>
      <c r="G112" s="1" t="s">
        <v>432</v>
      </c>
      <c r="I112" s="1" t="s">
        <v>110</v>
      </c>
      <c r="J112" s="1" t="n">
        <v>93600</v>
      </c>
      <c r="K112" s="1" t="n">
        <v>0</v>
      </c>
      <c r="M112" s="1" t="s">
        <v>433</v>
      </c>
      <c r="N112" s="1" t="s">
        <v>434</v>
      </c>
      <c r="O112" s="1" t="s">
        <v>148</v>
      </c>
      <c r="Q112" s="1" t="s">
        <v>178</v>
      </c>
      <c r="R112" s="1" t="s">
        <v>121</v>
      </c>
      <c r="S112" s="1" t="s">
        <v>435</v>
      </c>
      <c r="T112" s="6" t="n">
        <v>343374000000000</v>
      </c>
      <c r="V112" s="1" t="n">
        <v>10187</v>
      </c>
      <c r="W112" s="1" t="n">
        <v>1385</v>
      </c>
      <c r="X112" s="7" t="n">
        <v>0</v>
      </c>
      <c r="Y112" s="7" t="n">
        <v>0.0352418981481482</v>
      </c>
      <c r="Z112" s="1" t="n">
        <v>7.12</v>
      </c>
      <c r="AA112" s="1" t="s">
        <v>387</v>
      </c>
      <c r="AB112" s="7" t="n">
        <v>0</v>
      </c>
      <c r="AC112" s="2" t="n">
        <v>42650</v>
      </c>
      <c r="AD112" s="1" t="n">
        <v>75</v>
      </c>
      <c r="AE112" s="1" t="n">
        <v>150.79</v>
      </c>
      <c r="AF112" s="1" t="s">
        <v>115</v>
      </c>
      <c r="AG112" s="1" t="s">
        <v>85</v>
      </c>
      <c r="AH112" s="1" t="s">
        <v>79</v>
      </c>
      <c r="AI112" s="1" t="s">
        <v>80</v>
      </c>
      <c r="AJ112" s="1" t="s">
        <v>113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1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1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1</v>
      </c>
      <c r="BB112" s="1" t="n">
        <v>0</v>
      </c>
      <c r="BC112" s="1" t="n">
        <v>0</v>
      </c>
      <c r="BD112" s="1" t="n">
        <v>0</v>
      </c>
      <c r="BE112" s="1" t="n">
        <v>1</v>
      </c>
      <c r="BF112" s="1" t="n">
        <v>0</v>
      </c>
      <c r="BG112" s="1" t="n">
        <v>0</v>
      </c>
      <c r="BH112" s="1" t="n">
        <v>0</v>
      </c>
      <c r="BI112" s="1" t="n">
        <v>1</v>
      </c>
      <c r="BJ112" s="1" t="n">
        <v>0</v>
      </c>
      <c r="BK112" s="1" t="n">
        <v>0</v>
      </c>
      <c r="BL112" s="1" t="n">
        <v>0</v>
      </c>
      <c r="BM112" s="1" t="n">
        <v>0</v>
      </c>
    </row>
    <row r="113" customFormat="false" ht="16.15" hidden="false" customHeight="false" outlineLevel="0" collapsed="false">
      <c r="A113" s="0" t="str">
        <f aca="false">_xlfn.CONCAT(E113, " ", D113)</f>
        <v>Mrs. Mildred Carey </v>
      </c>
      <c r="B113" s="0" t="str">
        <f aca="false">LEFT(D113, SEARCH(" ",D113,1))</f>
        <v>Mildred </v>
      </c>
      <c r="C113" s="5" t="str">
        <f aca="false">RIGHT(D113,LEN(D113)-SEARCH(" ",D113,1))</f>
        <v>Carey </v>
      </c>
      <c r="D113" s="1" t="s">
        <v>430</v>
      </c>
      <c r="E113" s="1" t="s">
        <v>154</v>
      </c>
      <c r="F113" s="1" t="s">
        <v>431</v>
      </c>
      <c r="G113" s="1" t="s">
        <v>432</v>
      </c>
      <c r="I113" s="1" t="s">
        <v>110</v>
      </c>
      <c r="J113" s="1" t="n">
        <v>93600</v>
      </c>
      <c r="K113" s="1" t="n">
        <v>0</v>
      </c>
      <c r="M113" s="1" t="s">
        <v>433</v>
      </c>
      <c r="N113" s="1" t="s">
        <v>434</v>
      </c>
      <c r="O113" s="1" t="s">
        <v>148</v>
      </c>
      <c r="Q113" s="1" t="s">
        <v>178</v>
      </c>
      <c r="R113" s="1" t="s">
        <v>121</v>
      </c>
      <c r="S113" s="1" t="s">
        <v>435</v>
      </c>
      <c r="T113" s="6" t="n">
        <v>347290000000000</v>
      </c>
      <c r="V113" s="1" t="n">
        <v>10187</v>
      </c>
      <c r="W113" s="1" t="n">
        <v>2039</v>
      </c>
      <c r="X113" s="7" t="n">
        <v>0</v>
      </c>
      <c r="Y113" s="7" t="n">
        <v>0.0193935185185185</v>
      </c>
      <c r="Z113" s="1" t="n">
        <v>27.97</v>
      </c>
      <c r="AA113" s="1" t="s">
        <v>188</v>
      </c>
      <c r="AB113" s="7" t="n">
        <v>0</v>
      </c>
      <c r="AC113" s="2" t="n">
        <v>42652</v>
      </c>
      <c r="AD113" s="1" t="n">
        <v>75</v>
      </c>
      <c r="AE113" s="1" t="n">
        <v>219.64</v>
      </c>
      <c r="AF113" s="1" t="s">
        <v>77</v>
      </c>
      <c r="AG113" s="1" t="s">
        <v>85</v>
      </c>
      <c r="AH113" s="1" t="s">
        <v>79</v>
      </c>
      <c r="AI113" s="1" t="s">
        <v>102</v>
      </c>
      <c r="AJ113" s="1" t="s">
        <v>113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1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1</v>
      </c>
      <c r="BA113" s="1" t="n">
        <v>0</v>
      </c>
      <c r="BB113" s="1" t="n">
        <v>1</v>
      </c>
      <c r="BC113" s="1" t="n">
        <v>0</v>
      </c>
      <c r="BD113" s="1" t="n">
        <v>0</v>
      </c>
      <c r="BE113" s="1" t="n">
        <v>0</v>
      </c>
      <c r="BF113" s="1" t="n">
        <v>1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1</v>
      </c>
      <c r="BM113" s="1" t="n">
        <v>0</v>
      </c>
    </row>
    <row r="114" customFormat="false" ht="16.15" hidden="false" customHeight="false" outlineLevel="0" collapsed="false">
      <c r="A114" s="0" t="str">
        <f aca="false">_xlfn.CONCAT(E114, " ", D114)</f>
        <v>Mrs. Mildred Carey </v>
      </c>
      <c r="B114" s="0" t="str">
        <f aca="false">LEFT(D114, SEARCH(" ",D114,1))</f>
        <v>Mildred </v>
      </c>
      <c r="C114" s="5" t="str">
        <f aca="false">RIGHT(D114,LEN(D114)-SEARCH(" ",D114,1))</f>
        <v>Carey </v>
      </c>
      <c r="D114" s="1" t="s">
        <v>430</v>
      </c>
      <c r="E114" s="1" t="s">
        <v>154</v>
      </c>
      <c r="F114" s="1" t="s">
        <v>431</v>
      </c>
      <c r="G114" s="1" t="s">
        <v>432</v>
      </c>
      <c r="I114" s="1" t="s">
        <v>110</v>
      </c>
      <c r="J114" s="1" t="n">
        <v>93600</v>
      </c>
      <c r="K114" s="1" t="n">
        <v>0</v>
      </c>
      <c r="M114" s="1" t="s">
        <v>433</v>
      </c>
      <c r="N114" s="1" t="s">
        <v>434</v>
      </c>
      <c r="O114" s="1" t="s">
        <v>148</v>
      </c>
      <c r="Q114" s="1" t="s">
        <v>178</v>
      </c>
      <c r="R114" s="1" t="s">
        <v>121</v>
      </c>
      <c r="S114" s="1" t="s">
        <v>435</v>
      </c>
      <c r="T114" s="6" t="n">
        <v>370889000000000</v>
      </c>
      <c r="V114" s="1" t="n">
        <v>10187</v>
      </c>
      <c r="W114" s="1" t="n">
        <v>2961</v>
      </c>
      <c r="X114" s="7" t="n">
        <v>0</v>
      </c>
      <c r="Y114" s="7" t="n">
        <v>0.00794328703703704</v>
      </c>
      <c r="Z114" s="1" t="n">
        <v>19.25</v>
      </c>
      <c r="AA114" s="1" t="s">
        <v>356</v>
      </c>
      <c r="AB114" s="7" t="n">
        <v>0</v>
      </c>
      <c r="AC114" s="2" t="n">
        <v>42623</v>
      </c>
      <c r="AD114" s="1" t="n">
        <v>75</v>
      </c>
      <c r="AE114" s="1" t="n">
        <v>260.84</v>
      </c>
      <c r="AF114" s="1" t="s">
        <v>77</v>
      </c>
      <c r="AG114" s="1" t="s">
        <v>78</v>
      </c>
      <c r="AH114" s="1" t="s">
        <v>79</v>
      </c>
      <c r="AI114" s="1" t="s">
        <v>102</v>
      </c>
      <c r="AJ114" s="1" t="s">
        <v>113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1</v>
      </c>
      <c r="BA114" s="1" t="n">
        <v>0</v>
      </c>
      <c r="BB114" s="1" t="n">
        <v>0</v>
      </c>
      <c r="BC114" s="1" t="n">
        <v>1</v>
      </c>
      <c r="BD114" s="1" t="n">
        <v>0</v>
      </c>
      <c r="BE114" s="1" t="n">
        <v>0</v>
      </c>
      <c r="BF114" s="1" t="n">
        <v>1</v>
      </c>
      <c r="BG114" s="1" t="n">
        <v>0</v>
      </c>
      <c r="BH114" s="1" t="n">
        <v>0</v>
      </c>
      <c r="BI114" s="1" t="n">
        <v>0</v>
      </c>
      <c r="BJ114" s="1" t="n">
        <v>1</v>
      </c>
      <c r="BK114" s="1" t="n">
        <v>0</v>
      </c>
      <c r="BL114" s="1" t="n">
        <v>0</v>
      </c>
      <c r="BM114" s="1" t="n">
        <v>0</v>
      </c>
    </row>
    <row r="115" customFormat="false" ht="16.15" hidden="false" customHeight="false" outlineLevel="0" collapsed="false">
      <c r="A115" s="0" t="str">
        <f aca="false">_xlfn.CONCAT(E115, " ", D115)</f>
        <v>Mrs. Mildred Carey </v>
      </c>
      <c r="B115" s="0" t="str">
        <f aca="false">LEFT(D115, SEARCH(" ",D115,1))</f>
        <v>Mildred </v>
      </c>
      <c r="C115" s="5" t="str">
        <f aca="false">RIGHT(D115,LEN(D115)-SEARCH(" ",D115,1))</f>
        <v>Carey </v>
      </c>
      <c r="D115" s="1" t="s">
        <v>430</v>
      </c>
      <c r="E115" s="1" t="s">
        <v>154</v>
      </c>
      <c r="F115" s="1" t="s">
        <v>431</v>
      </c>
      <c r="G115" s="1" t="s">
        <v>432</v>
      </c>
      <c r="I115" s="1" t="s">
        <v>110</v>
      </c>
      <c r="J115" s="1" t="n">
        <v>93600</v>
      </c>
      <c r="K115" s="1" t="n">
        <v>0</v>
      </c>
      <c r="M115" s="1" t="s">
        <v>433</v>
      </c>
      <c r="N115" s="1" t="s">
        <v>434</v>
      </c>
      <c r="O115" s="1" t="s">
        <v>148</v>
      </c>
      <c r="Q115" s="1" t="s">
        <v>178</v>
      </c>
      <c r="R115" s="1" t="s">
        <v>121</v>
      </c>
      <c r="S115" s="1" t="s">
        <v>435</v>
      </c>
      <c r="T115" s="6" t="n">
        <v>341480000000000</v>
      </c>
      <c r="V115" s="1" t="n">
        <v>10187</v>
      </c>
      <c r="W115" s="1" t="n">
        <v>3576</v>
      </c>
      <c r="X115" s="7" t="n">
        <v>0</v>
      </c>
      <c r="Y115" s="7" t="n">
        <v>0.0194027777777778</v>
      </c>
      <c r="Z115" s="1" t="n">
        <v>11.15</v>
      </c>
      <c r="AA115" s="1" t="s">
        <v>257</v>
      </c>
      <c r="AB115" s="7" t="n">
        <v>0</v>
      </c>
      <c r="AC115" s="2" t="n">
        <v>42720</v>
      </c>
      <c r="AD115" s="1" t="n">
        <v>75</v>
      </c>
      <c r="AE115" s="1" t="n">
        <v>260.57</v>
      </c>
      <c r="AF115" s="1" t="s">
        <v>77</v>
      </c>
      <c r="AG115" s="1" t="s">
        <v>85</v>
      </c>
      <c r="AH115" s="1" t="s">
        <v>79</v>
      </c>
      <c r="AI115" s="1" t="s">
        <v>102</v>
      </c>
      <c r="AJ115" s="1" t="s">
        <v>113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1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1</v>
      </c>
      <c r="BB115" s="1" t="n">
        <v>0</v>
      </c>
      <c r="BC115" s="1" t="n">
        <v>1</v>
      </c>
      <c r="BD115" s="1" t="n">
        <v>0</v>
      </c>
      <c r="BE115" s="1" t="n">
        <v>1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1</v>
      </c>
      <c r="BK115" s="1" t="n">
        <v>0</v>
      </c>
      <c r="BL115" s="1" t="n">
        <v>1</v>
      </c>
      <c r="BM115" s="1" t="n">
        <v>1</v>
      </c>
    </row>
    <row r="116" customFormat="false" ht="16.15" hidden="false" customHeight="false" outlineLevel="0" collapsed="false">
      <c r="A116" s="0" t="str">
        <f aca="false">_xlfn.CONCAT(E116, " ", D116)</f>
        <v>Mrs. Yasmin Cole </v>
      </c>
      <c r="B116" s="0" t="str">
        <f aca="false">LEFT(D116, SEARCH(" ",D116,1))</f>
        <v>Yasmin </v>
      </c>
      <c r="C116" s="5" t="str">
        <f aca="false">RIGHT(D116,LEN(D116)-SEARCH(" ",D116,1))</f>
        <v>Cole </v>
      </c>
      <c r="D116" s="1" t="s">
        <v>436</v>
      </c>
      <c r="E116" s="1" t="s">
        <v>154</v>
      </c>
      <c r="F116" s="1" t="s">
        <v>437</v>
      </c>
      <c r="G116" s="1" t="s">
        <v>438</v>
      </c>
      <c r="H116" s="1" t="s">
        <v>263</v>
      </c>
      <c r="I116" s="1" t="s">
        <v>145</v>
      </c>
      <c r="J116" s="1" t="n">
        <v>78664</v>
      </c>
      <c r="K116" s="1" t="n">
        <v>0</v>
      </c>
      <c r="M116" s="1" t="s">
        <v>439</v>
      </c>
      <c r="N116" s="1" t="s">
        <v>440</v>
      </c>
      <c r="O116" s="1" t="s">
        <v>96</v>
      </c>
      <c r="Q116" s="1" t="s">
        <v>191</v>
      </c>
      <c r="R116" s="1" t="s">
        <v>121</v>
      </c>
      <c r="S116" s="1" t="s">
        <v>441</v>
      </c>
      <c r="T116" s="6" t="n">
        <v>4761930000000000</v>
      </c>
      <c r="V116" s="1" t="n">
        <v>10195</v>
      </c>
      <c r="W116" s="1" t="n">
        <v>1210</v>
      </c>
      <c r="X116" s="7" t="n">
        <v>0</v>
      </c>
      <c r="Y116" s="7" t="n">
        <v>0.0202106481481481</v>
      </c>
      <c r="Z116" s="1" t="n">
        <v>23.37</v>
      </c>
      <c r="AA116" s="1" t="s">
        <v>378</v>
      </c>
      <c r="AB116" s="7" t="n">
        <v>0</v>
      </c>
      <c r="AC116" s="2" t="n">
        <v>42440</v>
      </c>
      <c r="AD116" s="1" t="n">
        <v>68</v>
      </c>
      <c r="AE116" s="1" t="n">
        <v>550</v>
      </c>
      <c r="AF116" s="1" t="s">
        <v>77</v>
      </c>
      <c r="AG116" s="1" t="s">
        <v>85</v>
      </c>
      <c r="AH116" s="1" t="s">
        <v>112</v>
      </c>
      <c r="AI116" s="1" t="s">
        <v>102</v>
      </c>
      <c r="AJ116" s="1" t="s">
        <v>113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1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1</v>
      </c>
      <c r="BA116" s="1" t="n">
        <v>0</v>
      </c>
      <c r="BB116" s="1" t="n">
        <v>0</v>
      </c>
      <c r="BC116" s="1" t="n">
        <v>1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1</v>
      </c>
      <c r="BM116" s="1" t="n">
        <v>1</v>
      </c>
    </row>
    <row r="117" customFormat="false" ht="16.15" hidden="false" customHeight="false" outlineLevel="0" collapsed="false">
      <c r="A117" s="0" t="str">
        <f aca="false">_xlfn.CONCAT(E117, " ", D117)</f>
        <v>Mrs. Yasmin Cole </v>
      </c>
      <c r="B117" s="0" t="str">
        <f aca="false">LEFT(D117, SEARCH(" ",D117,1))</f>
        <v>Yasmin </v>
      </c>
      <c r="C117" s="5" t="str">
        <f aca="false">RIGHT(D117,LEN(D117)-SEARCH(" ",D117,1))</f>
        <v>Cole </v>
      </c>
      <c r="D117" s="1" t="s">
        <v>436</v>
      </c>
      <c r="E117" s="1" t="s">
        <v>154</v>
      </c>
      <c r="F117" s="1" t="s">
        <v>437</v>
      </c>
      <c r="G117" s="1" t="s">
        <v>438</v>
      </c>
      <c r="H117" s="1" t="s">
        <v>263</v>
      </c>
      <c r="I117" s="1" t="s">
        <v>145</v>
      </c>
      <c r="J117" s="1" t="n">
        <v>78664</v>
      </c>
      <c r="K117" s="1" t="n">
        <v>0</v>
      </c>
      <c r="M117" s="1" t="s">
        <v>439</v>
      </c>
      <c r="N117" s="1" t="s">
        <v>440</v>
      </c>
      <c r="O117" s="1" t="s">
        <v>96</v>
      </c>
      <c r="Q117" s="1" t="s">
        <v>191</v>
      </c>
      <c r="R117" s="1" t="s">
        <v>121</v>
      </c>
      <c r="S117" s="1" t="s">
        <v>441</v>
      </c>
      <c r="T117" s="6" t="n">
        <v>4276370000000000</v>
      </c>
      <c r="V117" s="1" t="n">
        <v>10195</v>
      </c>
      <c r="W117" s="1" t="n">
        <v>1562</v>
      </c>
      <c r="X117" s="7" t="n">
        <v>0</v>
      </c>
      <c r="Y117" s="7" t="n">
        <v>0.0399143518518519</v>
      </c>
      <c r="Z117" s="1" t="n">
        <v>24.08</v>
      </c>
      <c r="AA117" s="1" t="s">
        <v>442</v>
      </c>
      <c r="AB117" s="7" t="n">
        <v>0</v>
      </c>
      <c r="AC117" s="2" t="n">
        <v>42633</v>
      </c>
      <c r="AD117" s="1" t="n">
        <v>68</v>
      </c>
      <c r="AE117" s="1" t="n">
        <v>31.03</v>
      </c>
      <c r="AF117" s="1" t="s">
        <v>83</v>
      </c>
      <c r="AG117" s="1" t="s">
        <v>85</v>
      </c>
      <c r="AH117" s="1" t="s">
        <v>112</v>
      </c>
      <c r="AI117" s="1" t="s">
        <v>86</v>
      </c>
      <c r="AJ117" s="1" t="s">
        <v>113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1</v>
      </c>
      <c r="AV117" s="1" t="n">
        <v>0</v>
      </c>
      <c r="AW117" s="1" t="n">
        <v>0</v>
      </c>
      <c r="AX117" s="1" t="n">
        <v>1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</row>
    <row r="118" customFormat="false" ht="16.15" hidden="false" customHeight="false" outlineLevel="0" collapsed="false">
      <c r="A118" s="0" t="str">
        <f aca="false">_xlfn.CONCAT(E118, " ", D118)</f>
        <v>Mrs. Yasmin Cole </v>
      </c>
      <c r="B118" s="0" t="str">
        <f aca="false">LEFT(D118, SEARCH(" ",D118,1))</f>
        <v>Yasmin </v>
      </c>
      <c r="C118" s="5" t="str">
        <f aca="false">RIGHT(D118,LEN(D118)-SEARCH(" ",D118,1))</f>
        <v>Cole </v>
      </c>
      <c r="D118" s="1" t="s">
        <v>436</v>
      </c>
      <c r="E118" s="1" t="s">
        <v>154</v>
      </c>
      <c r="F118" s="1" t="s">
        <v>437</v>
      </c>
      <c r="G118" s="1" t="s">
        <v>438</v>
      </c>
      <c r="H118" s="1" t="s">
        <v>263</v>
      </c>
      <c r="I118" s="1" t="s">
        <v>145</v>
      </c>
      <c r="J118" s="1" t="n">
        <v>78664</v>
      </c>
      <c r="K118" s="1" t="n">
        <v>0</v>
      </c>
      <c r="M118" s="1" t="s">
        <v>439</v>
      </c>
      <c r="N118" s="1" t="s">
        <v>440</v>
      </c>
      <c r="O118" s="1" t="s">
        <v>96</v>
      </c>
      <c r="Q118" s="1" t="s">
        <v>191</v>
      </c>
      <c r="R118" s="1" t="s">
        <v>121</v>
      </c>
      <c r="S118" s="1" t="s">
        <v>441</v>
      </c>
      <c r="T118" s="6" t="n">
        <v>4029380000000000</v>
      </c>
      <c r="V118" s="1" t="n">
        <v>10195</v>
      </c>
      <c r="W118" s="1" t="n">
        <v>1950</v>
      </c>
      <c r="X118" s="7" t="n">
        <v>0</v>
      </c>
      <c r="Y118" s="7" t="n">
        <v>0.0202106481481481</v>
      </c>
      <c r="Z118" s="1" t="n">
        <v>13.33</v>
      </c>
      <c r="AA118" s="1" t="s">
        <v>139</v>
      </c>
      <c r="AB118" s="7" t="n">
        <v>0</v>
      </c>
      <c r="AC118" s="2" t="n">
        <v>42574</v>
      </c>
      <c r="AD118" s="1" t="n">
        <v>68</v>
      </c>
      <c r="AE118" s="1" t="n">
        <v>211.78</v>
      </c>
      <c r="AF118" s="1" t="s">
        <v>77</v>
      </c>
      <c r="AG118" s="1" t="s">
        <v>85</v>
      </c>
      <c r="AH118" s="1" t="s">
        <v>112</v>
      </c>
      <c r="AI118" s="1" t="s">
        <v>102</v>
      </c>
      <c r="AJ118" s="1" t="s">
        <v>113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1</v>
      </c>
      <c r="AQ118" s="1" t="n">
        <v>0</v>
      </c>
      <c r="AR118" s="1" t="n">
        <v>1</v>
      </c>
      <c r="AS118" s="1" t="n">
        <v>0</v>
      </c>
      <c r="AT118" s="1" t="n">
        <v>1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1</v>
      </c>
      <c r="BA118" s="1" t="n">
        <v>0</v>
      </c>
      <c r="BB118" s="1" t="n">
        <v>1</v>
      </c>
      <c r="BC118" s="1" t="n">
        <v>0</v>
      </c>
      <c r="BD118" s="1" t="n">
        <v>0</v>
      </c>
      <c r="BE118" s="1" t="n">
        <v>1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1</v>
      </c>
      <c r="BM118" s="1" t="n">
        <v>0</v>
      </c>
    </row>
    <row r="119" customFormat="false" ht="16.15" hidden="false" customHeight="false" outlineLevel="0" collapsed="false">
      <c r="A119" s="0" t="str">
        <f aca="false">_xlfn.CONCAT(E119, " ", D119)</f>
        <v>Mrs. Yasmin Cole </v>
      </c>
      <c r="B119" s="0" t="str">
        <f aca="false">LEFT(D119, SEARCH(" ",D119,1))</f>
        <v>Yasmin </v>
      </c>
      <c r="C119" s="5" t="str">
        <f aca="false">RIGHT(D119,LEN(D119)-SEARCH(" ",D119,1))</f>
        <v>Cole </v>
      </c>
      <c r="D119" s="1" t="s">
        <v>436</v>
      </c>
      <c r="E119" s="1" t="s">
        <v>154</v>
      </c>
      <c r="F119" s="1" t="s">
        <v>437</v>
      </c>
      <c r="G119" s="1" t="s">
        <v>438</v>
      </c>
      <c r="H119" s="1" t="s">
        <v>263</v>
      </c>
      <c r="I119" s="1" t="s">
        <v>145</v>
      </c>
      <c r="J119" s="1" t="n">
        <v>78664</v>
      </c>
      <c r="K119" s="1" t="n">
        <v>0</v>
      </c>
      <c r="M119" s="1" t="s">
        <v>439</v>
      </c>
      <c r="N119" s="1" t="s">
        <v>440</v>
      </c>
      <c r="O119" s="1" t="s">
        <v>96</v>
      </c>
      <c r="Q119" s="1" t="s">
        <v>191</v>
      </c>
      <c r="R119" s="1" t="s">
        <v>121</v>
      </c>
      <c r="S119" s="1" t="s">
        <v>441</v>
      </c>
      <c r="T119" s="6" t="n">
        <v>4389230000000000</v>
      </c>
      <c r="V119" s="1" t="n">
        <v>10195</v>
      </c>
      <c r="W119" s="1" t="n">
        <v>4525</v>
      </c>
      <c r="X119" s="7" t="n">
        <v>0</v>
      </c>
      <c r="Y119" s="7" t="n">
        <v>0.0307476851851852</v>
      </c>
      <c r="Z119" s="1" t="n">
        <v>10.15</v>
      </c>
      <c r="AA119" s="1" t="s">
        <v>190</v>
      </c>
      <c r="AB119" s="7" t="n">
        <v>0</v>
      </c>
      <c r="AC119" s="2" t="n">
        <v>42724</v>
      </c>
      <c r="AD119" s="1" t="n">
        <v>68</v>
      </c>
      <c r="AE119" s="1" t="n">
        <v>235.03</v>
      </c>
      <c r="AF119" s="1" t="s">
        <v>77</v>
      </c>
      <c r="AG119" s="1" t="s">
        <v>85</v>
      </c>
      <c r="AH119" s="1" t="s">
        <v>112</v>
      </c>
      <c r="AI119" s="1" t="s">
        <v>102</v>
      </c>
      <c r="AJ119" s="1" t="s">
        <v>113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1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1</v>
      </c>
      <c r="AZ119" s="1" t="n">
        <v>1</v>
      </c>
      <c r="BA119" s="1" t="n">
        <v>0</v>
      </c>
      <c r="BB119" s="1" t="n">
        <v>0</v>
      </c>
      <c r="BC119" s="1" t="n">
        <v>0</v>
      </c>
      <c r="BD119" s="1" t="n">
        <v>1</v>
      </c>
      <c r="BE119" s="1" t="n">
        <v>0</v>
      </c>
      <c r="BF119" s="1" t="n">
        <v>1</v>
      </c>
      <c r="BG119" s="1" t="n">
        <v>1</v>
      </c>
      <c r="BH119" s="1" t="n">
        <v>0</v>
      </c>
      <c r="BI119" s="1" t="n">
        <v>0</v>
      </c>
      <c r="BJ119" s="1" t="n">
        <v>0</v>
      </c>
      <c r="BK119" s="1" t="n">
        <v>1</v>
      </c>
      <c r="BL119" s="1" t="n">
        <v>1</v>
      </c>
      <c r="BM119" s="1" t="n">
        <v>0</v>
      </c>
    </row>
    <row r="120" customFormat="false" ht="16.15" hidden="false" customHeight="false" outlineLevel="0" collapsed="false">
      <c r="A120" s="0" t="str">
        <f aca="false">_xlfn.CONCAT(E120, " ", D120)</f>
        <v>Mrs. Yasmin Cole </v>
      </c>
      <c r="B120" s="0" t="str">
        <f aca="false">LEFT(D120, SEARCH(" ",D120,1))</f>
        <v>Yasmin </v>
      </c>
      <c r="C120" s="5" t="str">
        <f aca="false">RIGHT(D120,LEN(D120)-SEARCH(" ",D120,1))</f>
        <v>Cole </v>
      </c>
      <c r="D120" s="1" t="s">
        <v>436</v>
      </c>
      <c r="E120" s="1" t="s">
        <v>154</v>
      </c>
      <c r="F120" s="1" t="s">
        <v>437</v>
      </c>
      <c r="G120" s="1" t="s">
        <v>438</v>
      </c>
      <c r="H120" s="1" t="s">
        <v>263</v>
      </c>
      <c r="I120" s="1" t="s">
        <v>145</v>
      </c>
      <c r="J120" s="1" t="n">
        <v>78664</v>
      </c>
      <c r="K120" s="1" t="n">
        <v>0</v>
      </c>
      <c r="M120" s="1" t="s">
        <v>439</v>
      </c>
      <c r="N120" s="1" t="s">
        <v>440</v>
      </c>
      <c r="O120" s="1" t="s">
        <v>96</v>
      </c>
      <c r="Q120" s="1" t="s">
        <v>191</v>
      </c>
      <c r="R120" s="1" t="s">
        <v>121</v>
      </c>
      <c r="S120" s="1" t="s">
        <v>441</v>
      </c>
      <c r="T120" s="6" t="n">
        <v>4322470000000000</v>
      </c>
      <c r="V120" s="1" t="n">
        <v>10195</v>
      </c>
      <c r="W120" s="1" t="n">
        <v>7524</v>
      </c>
      <c r="X120" s="7" t="n">
        <v>0.0329282407407407</v>
      </c>
      <c r="Y120" s="7" t="n">
        <v>0.0329328703703704</v>
      </c>
      <c r="Z120" s="1" t="n">
        <v>16.25</v>
      </c>
      <c r="AA120" s="1" t="s">
        <v>443</v>
      </c>
      <c r="AB120" s="7" t="n">
        <v>0.0329282407407407</v>
      </c>
      <c r="AC120" s="2" t="n">
        <v>42498</v>
      </c>
      <c r="AD120" s="1" t="n">
        <v>68</v>
      </c>
      <c r="AE120" s="1" t="n">
        <v>240.8</v>
      </c>
      <c r="AF120" s="1" t="s">
        <v>77</v>
      </c>
      <c r="AG120" s="1" t="s">
        <v>85</v>
      </c>
      <c r="AH120" s="1" t="s">
        <v>112</v>
      </c>
      <c r="AI120" s="1" t="s">
        <v>102</v>
      </c>
      <c r="AJ120" s="1" t="s">
        <v>113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1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1</v>
      </c>
      <c r="BA120" s="1" t="n">
        <v>0</v>
      </c>
      <c r="BB120" s="1" t="n">
        <v>0</v>
      </c>
      <c r="BC120" s="1" t="n">
        <v>1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1</v>
      </c>
    </row>
    <row r="121" customFormat="false" ht="16.15" hidden="false" customHeight="false" outlineLevel="0" collapsed="false">
      <c r="A121" s="0" t="str">
        <f aca="false">_xlfn.CONCAT(E121, " ", D121)</f>
        <v>Mrs. Jodi Bugg </v>
      </c>
      <c r="B121" s="0" t="str">
        <f aca="false">LEFT(D121, SEARCH(" ",D121,1))</f>
        <v>Jodi </v>
      </c>
      <c r="C121" s="5" t="str">
        <f aca="false">RIGHT(D121,LEN(D121)-SEARCH(" ",D121,1))</f>
        <v>Bugg </v>
      </c>
      <c r="D121" s="1" t="s">
        <v>444</v>
      </c>
      <c r="E121" s="1" t="s">
        <v>154</v>
      </c>
      <c r="F121" s="1" t="s">
        <v>445</v>
      </c>
      <c r="G121" s="1" t="s">
        <v>446</v>
      </c>
      <c r="H121" s="1" t="s">
        <v>157</v>
      </c>
      <c r="I121" s="1" t="s">
        <v>70</v>
      </c>
      <c r="J121" s="1" t="n">
        <v>38063</v>
      </c>
      <c r="K121" s="1" t="n">
        <v>0</v>
      </c>
      <c r="M121" s="1" t="s">
        <v>447</v>
      </c>
      <c r="N121" s="1" t="s">
        <v>448</v>
      </c>
      <c r="O121" s="1" t="s">
        <v>148</v>
      </c>
      <c r="Q121" s="1" t="s">
        <v>117</v>
      </c>
      <c r="R121" s="1" t="s">
        <v>110</v>
      </c>
      <c r="S121" s="6" t="n">
        <v>253000000000000</v>
      </c>
      <c r="T121" s="6" t="n">
        <v>344866000000000</v>
      </c>
      <c r="V121" s="1" t="n">
        <v>10203</v>
      </c>
      <c r="W121" s="1" t="n">
        <v>1078</v>
      </c>
      <c r="X121" s="7" t="n">
        <v>0</v>
      </c>
      <c r="Y121" s="7" t="n">
        <v>0.0193865740740741</v>
      </c>
      <c r="Z121" s="1" t="n">
        <v>16.25</v>
      </c>
      <c r="AA121" s="1" t="s">
        <v>248</v>
      </c>
      <c r="AB121" s="7" t="n">
        <v>0</v>
      </c>
      <c r="AC121" s="2" t="n">
        <v>42651</v>
      </c>
      <c r="AD121" s="1" t="n">
        <v>38</v>
      </c>
      <c r="AE121" s="1" t="n">
        <v>39.62</v>
      </c>
      <c r="AF121" s="1" t="s">
        <v>77</v>
      </c>
      <c r="AG121" s="1" t="s">
        <v>78</v>
      </c>
      <c r="AH121" s="1" t="s">
        <v>112</v>
      </c>
      <c r="AI121" s="1" t="s">
        <v>86</v>
      </c>
      <c r="AJ121" s="1" t="s">
        <v>81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1</v>
      </c>
      <c r="AV121" s="1" t="n">
        <v>0</v>
      </c>
      <c r="AW121" s="1" t="n">
        <v>1</v>
      </c>
      <c r="AX121" s="1" t="n">
        <v>0</v>
      </c>
      <c r="AY121" s="1" t="n">
        <v>0</v>
      </c>
      <c r="AZ121" s="1" t="n">
        <v>0</v>
      </c>
      <c r="BA121" s="1" t="n">
        <v>1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</row>
    <row r="122" customFormat="false" ht="16.15" hidden="false" customHeight="false" outlineLevel="0" collapsed="false">
      <c r="A122" s="0" t="str">
        <f aca="false">_xlfn.CONCAT(E122, " ", D122)</f>
        <v>Mrs. Jodi Bugg </v>
      </c>
      <c r="B122" s="0" t="str">
        <f aca="false">LEFT(D122, SEARCH(" ",D122,1))</f>
        <v>Jodi </v>
      </c>
      <c r="C122" s="5" t="str">
        <f aca="false">RIGHT(D122,LEN(D122)-SEARCH(" ",D122,1))</f>
        <v>Bugg </v>
      </c>
      <c r="D122" s="1" t="s">
        <v>444</v>
      </c>
      <c r="E122" s="1" t="s">
        <v>154</v>
      </c>
      <c r="F122" s="1" t="s">
        <v>445</v>
      </c>
      <c r="G122" s="1" t="s">
        <v>446</v>
      </c>
      <c r="H122" s="1" t="s">
        <v>157</v>
      </c>
      <c r="I122" s="1" t="s">
        <v>70</v>
      </c>
      <c r="J122" s="1" t="n">
        <v>38063</v>
      </c>
      <c r="K122" s="1" t="n">
        <v>0</v>
      </c>
      <c r="M122" s="1" t="s">
        <v>447</v>
      </c>
      <c r="N122" s="1" t="s">
        <v>448</v>
      </c>
      <c r="O122" s="1" t="s">
        <v>148</v>
      </c>
      <c r="Q122" s="1" t="s">
        <v>117</v>
      </c>
      <c r="R122" s="1" t="s">
        <v>110</v>
      </c>
      <c r="S122" s="6" t="n">
        <v>253000000000000</v>
      </c>
      <c r="T122" s="6" t="n">
        <v>370252000000000</v>
      </c>
      <c r="V122" s="1" t="n">
        <v>10203</v>
      </c>
      <c r="W122" s="1" t="n">
        <v>7969</v>
      </c>
      <c r="X122" s="7" t="n">
        <v>0</v>
      </c>
      <c r="Y122" s="7" t="n">
        <v>0.0238032407407407</v>
      </c>
      <c r="Z122" s="1" t="n">
        <v>26.87</v>
      </c>
      <c r="AA122" s="1" t="s">
        <v>293</v>
      </c>
      <c r="AB122" s="7" t="n">
        <v>0</v>
      </c>
      <c r="AC122" s="2" t="n">
        <v>42724</v>
      </c>
      <c r="AD122" s="1" t="n">
        <v>38</v>
      </c>
      <c r="AE122" s="1" t="n">
        <v>11.64</v>
      </c>
      <c r="AF122" s="1" t="s">
        <v>77</v>
      </c>
      <c r="AG122" s="1" t="s">
        <v>78</v>
      </c>
      <c r="AH122" s="1" t="s">
        <v>112</v>
      </c>
      <c r="AI122" s="1" t="s">
        <v>86</v>
      </c>
      <c r="AJ122" s="1" t="s">
        <v>81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1</v>
      </c>
      <c r="AV122" s="1" t="n">
        <v>0</v>
      </c>
      <c r="AW122" s="1" t="n">
        <v>1</v>
      </c>
      <c r="AX122" s="1" t="n">
        <v>1</v>
      </c>
      <c r="AY122" s="1" t="n">
        <v>0</v>
      </c>
      <c r="AZ122" s="1" t="n">
        <v>0</v>
      </c>
      <c r="BA122" s="1" t="n">
        <v>1</v>
      </c>
      <c r="BB122" s="1" t="n">
        <v>0</v>
      </c>
      <c r="BC122" s="1" t="n">
        <v>0</v>
      </c>
      <c r="BD122" s="1" t="n">
        <v>0</v>
      </c>
      <c r="BE122" s="1" t="n">
        <v>1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</row>
    <row r="123" customFormat="false" ht="16.15" hidden="false" customHeight="false" outlineLevel="0" collapsed="false">
      <c r="A123" s="0" t="str">
        <f aca="false">_xlfn.CONCAT(E123, " ", D123)</f>
        <v>Mr. Henry Williams </v>
      </c>
      <c r="B123" s="0" t="str">
        <f aca="false">LEFT(D123, SEARCH(" ",D123,1))</f>
        <v>Henry </v>
      </c>
      <c r="C123" s="5" t="str">
        <f aca="false">RIGHT(D123,LEN(D123)-SEARCH(" ",D123,1))</f>
        <v>Williams </v>
      </c>
      <c r="D123" s="1" t="s">
        <v>449</v>
      </c>
      <c r="E123" s="1" t="s">
        <v>66</v>
      </c>
      <c r="F123" s="1" t="s">
        <v>450</v>
      </c>
      <c r="G123" s="1" t="s">
        <v>451</v>
      </c>
      <c r="H123" s="1" t="s">
        <v>452</v>
      </c>
      <c r="I123" s="1" t="s">
        <v>288</v>
      </c>
      <c r="J123" s="1" t="n">
        <v>4361</v>
      </c>
      <c r="K123" s="1" t="n">
        <v>0</v>
      </c>
      <c r="M123" s="1" t="s">
        <v>453</v>
      </c>
      <c r="N123" s="1" t="s">
        <v>454</v>
      </c>
      <c r="O123" s="1" t="s">
        <v>148</v>
      </c>
      <c r="Q123" s="1" t="s">
        <v>455</v>
      </c>
      <c r="R123" s="1" t="s">
        <v>385</v>
      </c>
      <c r="S123" s="1" t="s">
        <v>456</v>
      </c>
      <c r="T123" s="6" t="n">
        <v>342963000000000</v>
      </c>
      <c r="V123" s="1" t="n">
        <v>10207</v>
      </c>
      <c r="W123" s="1" t="n">
        <v>8579</v>
      </c>
      <c r="X123" s="7" t="n">
        <v>0</v>
      </c>
      <c r="Y123" s="7" t="n">
        <v>0.0177847222222222</v>
      </c>
      <c r="Z123" s="1" t="n">
        <v>23.12</v>
      </c>
      <c r="AA123" s="1" t="s">
        <v>316</v>
      </c>
      <c r="AB123" s="7" t="n">
        <v>0</v>
      </c>
      <c r="AC123" s="2" t="n">
        <v>42554</v>
      </c>
      <c r="AD123" s="1" t="n">
        <v>70</v>
      </c>
      <c r="AE123" s="1" t="n">
        <v>22.85</v>
      </c>
      <c r="AF123" s="1" t="s">
        <v>77</v>
      </c>
      <c r="AG123" s="1" t="s">
        <v>85</v>
      </c>
      <c r="AH123" s="1" t="s">
        <v>112</v>
      </c>
      <c r="AI123" s="1" t="s">
        <v>86</v>
      </c>
      <c r="AJ123" s="1" t="s">
        <v>113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1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</row>
    <row r="124" customFormat="false" ht="16.15" hidden="false" customHeight="false" outlineLevel="0" collapsed="false">
      <c r="A124" s="0" t="str">
        <f aca="false">_xlfn.CONCAT(E124, " ", D124)</f>
        <v>Mr. Allen Rice </v>
      </c>
      <c r="B124" s="0" t="str">
        <f aca="false">LEFT(D124, SEARCH(" ",D124,1))</f>
        <v>Allen </v>
      </c>
      <c r="C124" s="5" t="str">
        <f aca="false">RIGHT(D124,LEN(D124)-SEARCH(" ",D124,1))</f>
        <v>Rice </v>
      </c>
      <c r="D124" s="1" t="s">
        <v>457</v>
      </c>
      <c r="E124" s="1" t="s">
        <v>66</v>
      </c>
      <c r="F124" s="1" t="s">
        <v>458</v>
      </c>
      <c r="G124" s="1" t="s">
        <v>459</v>
      </c>
      <c r="H124" s="1" t="s">
        <v>287</v>
      </c>
      <c r="I124" s="1" t="s">
        <v>70</v>
      </c>
      <c r="J124" s="1" t="n">
        <v>84010</v>
      </c>
      <c r="K124" s="1" t="n">
        <v>0</v>
      </c>
      <c r="M124" s="1" t="s">
        <v>460</v>
      </c>
      <c r="N124" s="1" t="s">
        <v>461</v>
      </c>
      <c r="O124" s="1" t="s">
        <v>96</v>
      </c>
      <c r="Q124" s="1" t="s">
        <v>387</v>
      </c>
      <c r="R124" s="1" t="s">
        <v>385</v>
      </c>
      <c r="S124" s="1" t="s">
        <v>462</v>
      </c>
      <c r="T124" s="6" t="n">
        <v>4433280000000000</v>
      </c>
      <c r="V124" s="1" t="n">
        <v>10211</v>
      </c>
      <c r="W124" s="1" t="n">
        <v>3605</v>
      </c>
      <c r="X124" s="7" t="n">
        <v>0.0329282407407407</v>
      </c>
      <c r="Y124" s="7" t="n">
        <v>0.0329328703703704</v>
      </c>
      <c r="Z124" s="1" t="n">
        <v>13.51</v>
      </c>
      <c r="AA124" s="1" t="s">
        <v>348</v>
      </c>
      <c r="AB124" s="7" t="n">
        <v>0.0329282407407407</v>
      </c>
      <c r="AC124" s="2" t="n">
        <v>42498</v>
      </c>
      <c r="AD124" s="1" t="s">
        <v>100</v>
      </c>
      <c r="AE124" s="1" t="n">
        <v>77.9</v>
      </c>
      <c r="AF124" s="1" t="s">
        <v>129</v>
      </c>
      <c r="AG124" s="1" t="s">
        <v>78</v>
      </c>
      <c r="AH124" s="1" t="s">
        <v>101</v>
      </c>
      <c r="AI124" s="1" t="s">
        <v>80</v>
      </c>
      <c r="AJ124" s="1" t="s">
        <v>103</v>
      </c>
      <c r="AK124" s="1" t="n">
        <v>1</v>
      </c>
      <c r="AL124" s="1" t="n">
        <v>1</v>
      </c>
      <c r="AM124" s="1" t="n">
        <v>0</v>
      </c>
      <c r="AN124" s="1" t="n">
        <v>0</v>
      </c>
      <c r="AO124" s="1" t="n">
        <v>1</v>
      </c>
      <c r="AP124" s="1" t="n">
        <v>0</v>
      </c>
      <c r="AQ124" s="1" t="n">
        <v>0</v>
      </c>
      <c r="AR124" s="1" t="n">
        <v>0</v>
      </c>
      <c r="AS124" s="1" t="n">
        <v>1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</row>
    <row r="125" customFormat="false" ht="16.15" hidden="false" customHeight="false" outlineLevel="0" collapsed="false">
      <c r="A125" s="0" t="str">
        <f aca="false">_xlfn.CONCAT(E125, " ", D125)</f>
        <v>Mr. Allen Rice </v>
      </c>
      <c r="B125" s="0" t="str">
        <f aca="false">LEFT(D125, SEARCH(" ",D125,1))</f>
        <v>Allen </v>
      </c>
      <c r="C125" s="5" t="str">
        <f aca="false">RIGHT(D125,LEN(D125)-SEARCH(" ",D125,1))</f>
        <v>Rice </v>
      </c>
      <c r="D125" s="1" t="s">
        <v>457</v>
      </c>
      <c r="E125" s="1" t="s">
        <v>66</v>
      </c>
      <c r="F125" s="1" t="s">
        <v>458</v>
      </c>
      <c r="G125" s="1" t="s">
        <v>459</v>
      </c>
      <c r="H125" s="1" t="s">
        <v>287</v>
      </c>
      <c r="I125" s="1" t="s">
        <v>70</v>
      </c>
      <c r="J125" s="1" t="n">
        <v>84010</v>
      </c>
      <c r="K125" s="1" t="n">
        <v>0</v>
      </c>
      <c r="M125" s="1" t="s">
        <v>460</v>
      </c>
      <c r="N125" s="1" t="s">
        <v>461</v>
      </c>
      <c r="O125" s="1" t="s">
        <v>96</v>
      </c>
      <c r="Q125" s="1" t="s">
        <v>387</v>
      </c>
      <c r="R125" s="1" t="s">
        <v>385</v>
      </c>
      <c r="S125" s="1" t="s">
        <v>462</v>
      </c>
      <c r="T125" s="6" t="n">
        <v>4722680000000000</v>
      </c>
      <c r="V125" s="1" t="n">
        <v>10211</v>
      </c>
      <c r="W125" s="1" t="n">
        <v>4985</v>
      </c>
      <c r="X125" s="7" t="n">
        <v>0</v>
      </c>
      <c r="Y125" s="7" t="n">
        <v>0.0157013888888889</v>
      </c>
      <c r="Z125" s="1" t="n">
        <v>11.05</v>
      </c>
      <c r="AA125" s="1" t="s">
        <v>414</v>
      </c>
      <c r="AB125" s="7" t="n">
        <v>0</v>
      </c>
      <c r="AC125" s="2" t="n">
        <v>42509</v>
      </c>
      <c r="AD125" s="1" t="s">
        <v>100</v>
      </c>
      <c r="AE125" s="1" t="n">
        <v>237.25</v>
      </c>
      <c r="AF125" s="1" t="s">
        <v>77</v>
      </c>
      <c r="AG125" s="1" t="s">
        <v>78</v>
      </c>
      <c r="AH125" s="1" t="s">
        <v>101</v>
      </c>
      <c r="AI125" s="1" t="s">
        <v>102</v>
      </c>
      <c r="AJ125" s="1" t="s">
        <v>103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1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1</v>
      </c>
      <c r="BC125" s="1" t="n">
        <v>1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1</v>
      </c>
      <c r="BK125" s="1" t="n">
        <v>0</v>
      </c>
      <c r="BL125" s="1" t="n">
        <v>0</v>
      </c>
      <c r="BM125" s="1" t="n">
        <v>0</v>
      </c>
    </row>
    <row r="126" customFormat="false" ht="16.15" hidden="false" customHeight="false" outlineLevel="0" collapsed="false">
      <c r="A126" s="0" t="str">
        <f aca="false">_xlfn.CONCAT(E126, " ", D126)</f>
        <v>Mr. Allen Rice </v>
      </c>
      <c r="B126" s="0" t="str">
        <f aca="false">LEFT(D126, SEARCH(" ",D126,1))</f>
        <v>Allen </v>
      </c>
      <c r="C126" s="5" t="str">
        <f aca="false">RIGHT(D126,LEN(D126)-SEARCH(" ",D126,1))</f>
        <v>Rice </v>
      </c>
      <c r="D126" s="1" t="s">
        <v>457</v>
      </c>
      <c r="E126" s="1" t="s">
        <v>66</v>
      </c>
      <c r="F126" s="1" t="s">
        <v>458</v>
      </c>
      <c r="G126" s="1" t="s">
        <v>459</v>
      </c>
      <c r="H126" s="1" t="s">
        <v>287</v>
      </c>
      <c r="I126" s="1" t="s">
        <v>70</v>
      </c>
      <c r="J126" s="1" t="n">
        <v>84010</v>
      </c>
      <c r="K126" s="1" t="n">
        <v>0</v>
      </c>
      <c r="M126" s="1" t="s">
        <v>460</v>
      </c>
      <c r="N126" s="1" t="s">
        <v>461</v>
      </c>
      <c r="O126" s="1" t="s">
        <v>96</v>
      </c>
      <c r="Q126" s="1" t="s">
        <v>387</v>
      </c>
      <c r="R126" s="1" t="s">
        <v>385</v>
      </c>
      <c r="S126" s="1" t="s">
        <v>462</v>
      </c>
      <c r="T126" s="6" t="n">
        <v>4604190000000000</v>
      </c>
      <c r="V126" s="1" t="n">
        <v>10211</v>
      </c>
      <c r="W126" s="1" t="n">
        <v>7014</v>
      </c>
      <c r="X126" s="7" t="n">
        <v>0</v>
      </c>
      <c r="Y126" s="7" t="n">
        <v>0.0332916666666667</v>
      </c>
      <c r="Z126" s="1" t="n">
        <v>8.15</v>
      </c>
      <c r="AA126" s="1" t="s">
        <v>127</v>
      </c>
      <c r="AB126" s="7" t="n">
        <v>0</v>
      </c>
      <c r="AC126" s="2" t="n">
        <v>42420</v>
      </c>
      <c r="AD126" s="1" t="s">
        <v>100</v>
      </c>
      <c r="AE126" s="1" t="n">
        <v>27.23</v>
      </c>
      <c r="AF126" s="1" t="s">
        <v>83</v>
      </c>
      <c r="AG126" s="1" t="s">
        <v>78</v>
      </c>
      <c r="AH126" s="1" t="s">
        <v>101</v>
      </c>
      <c r="AI126" s="1" t="s">
        <v>86</v>
      </c>
      <c r="AJ126" s="1" t="s">
        <v>103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1</v>
      </c>
      <c r="AV126" s="1" t="n">
        <v>0</v>
      </c>
      <c r="AW126" s="1" t="n">
        <v>1</v>
      </c>
      <c r="AX126" s="1" t="n">
        <v>0</v>
      </c>
      <c r="AY126" s="1" t="n">
        <v>0</v>
      </c>
      <c r="AZ126" s="1" t="n">
        <v>0</v>
      </c>
      <c r="BA126" s="1" t="n">
        <v>1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</row>
    <row r="127" customFormat="false" ht="16.15" hidden="false" customHeight="false" outlineLevel="0" collapsed="false">
      <c r="A127" s="0" t="str">
        <f aca="false">_xlfn.CONCAT(E127, " ", D127)</f>
        <v>Mr. Bradford Claassen </v>
      </c>
      <c r="B127" s="0" t="str">
        <f aca="false">LEFT(D127, SEARCH(" ",D127,1))</f>
        <v>Bradford </v>
      </c>
      <c r="C127" s="5" t="str">
        <f aca="false">RIGHT(D127,LEN(D127)-SEARCH(" ",D127,1))</f>
        <v>Claassen </v>
      </c>
      <c r="D127" s="1" t="s">
        <v>463</v>
      </c>
      <c r="E127" s="1" t="s">
        <v>66</v>
      </c>
      <c r="F127" s="1" t="s">
        <v>464</v>
      </c>
      <c r="G127" s="1" t="s">
        <v>465</v>
      </c>
      <c r="H127" s="1" t="s">
        <v>466</v>
      </c>
      <c r="I127" s="1" t="s">
        <v>70</v>
      </c>
      <c r="J127" s="1" t="n">
        <v>12071</v>
      </c>
      <c r="K127" s="1" t="n">
        <v>0</v>
      </c>
      <c r="M127" s="1" t="s">
        <v>467</v>
      </c>
      <c r="N127" s="1" t="s">
        <v>468</v>
      </c>
      <c r="O127" s="1" t="s">
        <v>237</v>
      </c>
      <c r="Q127" s="1" t="s">
        <v>257</v>
      </c>
      <c r="R127" s="1" t="s">
        <v>110</v>
      </c>
      <c r="S127" s="6" t="n">
        <v>796000000000000</v>
      </c>
      <c r="T127" s="6" t="n">
        <v>3528170000000000</v>
      </c>
      <c r="V127" s="1" t="n">
        <v>10215</v>
      </c>
      <c r="W127" s="1" t="n">
        <v>28</v>
      </c>
      <c r="X127" s="7" t="n">
        <v>0</v>
      </c>
      <c r="Y127" s="7" t="n">
        <v>0.0255196759259259</v>
      </c>
      <c r="Z127" s="1" t="n">
        <v>13.88</v>
      </c>
      <c r="AA127" s="1" t="s">
        <v>402</v>
      </c>
      <c r="AB127" s="7" t="n">
        <v>0</v>
      </c>
      <c r="AC127" s="2" t="n">
        <v>42571</v>
      </c>
      <c r="AD127" s="1" t="s">
        <v>100</v>
      </c>
      <c r="AE127" s="1" t="n">
        <v>114.25</v>
      </c>
      <c r="AF127" s="1" t="s">
        <v>77</v>
      </c>
      <c r="AG127" s="1" t="s">
        <v>78</v>
      </c>
      <c r="AH127" s="1" t="s">
        <v>101</v>
      </c>
      <c r="AI127" s="1" t="s">
        <v>80</v>
      </c>
      <c r="AJ127" s="1" t="s">
        <v>103</v>
      </c>
      <c r="AK127" s="1" t="n">
        <v>1</v>
      </c>
      <c r="AL127" s="1" t="n">
        <v>1</v>
      </c>
      <c r="AM127" s="1" t="n">
        <v>0</v>
      </c>
      <c r="AN127" s="1" t="n">
        <v>0</v>
      </c>
      <c r="AO127" s="1" t="n">
        <v>1</v>
      </c>
      <c r="AP127" s="1" t="n">
        <v>0</v>
      </c>
      <c r="AQ127" s="1" t="n">
        <v>1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</row>
    <row r="128" customFormat="false" ht="16.15" hidden="false" customHeight="false" outlineLevel="0" collapsed="false">
      <c r="A128" s="0" t="str">
        <f aca="false">_xlfn.CONCAT(E128, " ", D128)</f>
        <v>Mr. Bradford Claassen </v>
      </c>
      <c r="B128" s="0" t="str">
        <f aca="false">LEFT(D128, SEARCH(" ",D128,1))</f>
        <v>Bradford </v>
      </c>
      <c r="C128" s="5" t="str">
        <f aca="false">RIGHT(D128,LEN(D128)-SEARCH(" ",D128,1))</f>
        <v>Claassen </v>
      </c>
      <c r="D128" s="1" t="s">
        <v>463</v>
      </c>
      <c r="E128" s="1" t="s">
        <v>66</v>
      </c>
      <c r="F128" s="1" t="s">
        <v>464</v>
      </c>
      <c r="G128" s="1" t="s">
        <v>465</v>
      </c>
      <c r="H128" s="1" t="s">
        <v>466</v>
      </c>
      <c r="I128" s="1" t="s">
        <v>70</v>
      </c>
      <c r="J128" s="1" t="n">
        <v>12071</v>
      </c>
      <c r="K128" s="1" t="n">
        <v>0</v>
      </c>
      <c r="M128" s="1" t="s">
        <v>467</v>
      </c>
      <c r="N128" s="1" t="s">
        <v>468</v>
      </c>
      <c r="O128" s="1" t="s">
        <v>237</v>
      </c>
      <c r="Q128" s="1" t="s">
        <v>257</v>
      </c>
      <c r="R128" s="1" t="s">
        <v>110</v>
      </c>
      <c r="S128" s="6" t="n">
        <v>796000000000000</v>
      </c>
      <c r="T128" s="6" t="n">
        <v>3528610000000000</v>
      </c>
      <c r="V128" s="1" t="n">
        <v>10215</v>
      </c>
      <c r="W128" s="1" t="n">
        <v>9132</v>
      </c>
      <c r="X128" s="7" t="n">
        <v>0.0329282407407407</v>
      </c>
      <c r="Y128" s="7" t="n">
        <v>0.0329328703703704</v>
      </c>
      <c r="Z128" s="1" t="n">
        <v>6.87</v>
      </c>
      <c r="AA128" s="1" t="s">
        <v>469</v>
      </c>
      <c r="AB128" s="7" t="n">
        <v>0.0329282407407407</v>
      </c>
      <c r="AC128" s="2" t="n">
        <v>42498</v>
      </c>
      <c r="AD128" s="1" t="s">
        <v>100</v>
      </c>
      <c r="AE128" s="1" t="n">
        <v>132.36</v>
      </c>
      <c r="AF128" s="1" t="s">
        <v>77</v>
      </c>
      <c r="AG128" s="1" t="s">
        <v>78</v>
      </c>
      <c r="AH128" s="1" t="s">
        <v>101</v>
      </c>
      <c r="AI128" s="1" t="s">
        <v>80</v>
      </c>
      <c r="AJ128" s="1" t="s">
        <v>103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1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1</v>
      </c>
      <c r="AZ128" s="1" t="n">
        <v>0</v>
      </c>
      <c r="BA128" s="1" t="n">
        <v>0</v>
      </c>
      <c r="BB128" s="1" t="n">
        <v>1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1</v>
      </c>
      <c r="BI128" s="1" t="n">
        <v>1</v>
      </c>
      <c r="BJ128" s="1" t="n">
        <v>0</v>
      </c>
      <c r="BK128" s="1" t="n">
        <v>0</v>
      </c>
      <c r="BL128" s="1" t="n">
        <v>0</v>
      </c>
      <c r="BM128" s="1" t="n">
        <v>1</v>
      </c>
    </row>
    <row r="129" customFormat="false" ht="16.15" hidden="false" customHeight="false" outlineLevel="0" collapsed="false">
      <c r="A129" s="0" t="str">
        <f aca="false">_xlfn.CONCAT(E129, " ", D129)</f>
        <v>Mrs. Elizabeth Turner </v>
      </c>
      <c r="B129" s="0" t="str">
        <f aca="false">LEFT(D129, SEARCH(" ",D129,1))</f>
        <v>Elizabeth </v>
      </c>
      <c r="C129" s="5" t="str">
        <f aca="false">RIGHT(D129,LEN(D129)-SEARCH(" ",D129,1))</f>
        <v>Turner </v>
      </c>
      <c r="D129" s="1" t="s">
        <v>470</v>
      </c>
      <c r="E129" s="1" t="s">
        <v>154</v>
      </c>
      <c r="F129" s="1" t="s">
        <v>471</v>
      </c>
      <c r="G129" s="1" t="s">
        <v>472</v>
      </c>
      <c r="H129" s="1" t="s">
        <v>473</v>
      </c>
      <c r="I129" s="1" t="s">
        <v>70</v>
      </c>
      <c r="J129" s="1" t="n">
        <v>29100</v>
      </c>
      <c r="K129" s="1" t="n">
        <v>0</v>
      </c>
      <c r="M129" s="1" t="s">
        <v>474</v>
      </c>
      <c r="N129" s="1" t="s">
        <v>475</v>
      </c>
      <c r="O129" s="1" t="s">
        <v>148</v>
      </c>
      <c r="Q129" s="1" t="s">
        <v>248</v>
      </c>
      <c r="R129" s="1" t="s">
        <v>121</v>
      </c>
      <c r="S129" s="1" t="s">
        <v>476</v>
      </c>
      <c r="T129" s="6" t="n">
        <v>344368000000000</v>
      </c>
      <c r="V129" s="1" t="n">
        <v>10219</v>
      </c>
      <c r="W129" s="1" t="n">
        <v>2700</v>
      </c>
      <c r="X129" s="7" t="n">
        <v>0.0329282407407407</v>
      </c>
      <c r="Y129" s="7" t="n">
        <v>0.0329328703703704</v>
      </c>
      <c r="Z129" s="1" t="n">
        <v>22.95</v>
      </c>
      <c r="AA129" s="1" t="s">
        <v>160</v>
      </c>
      <c r="AB129" s="7" t="n">
        <v>0.0329282407407407</v>
      </c>
      <c r="AC129" s="2" t="n">
        <v>42498</v>
      </c>
      <c r="AD129" s="1" t="s">
        <v>477</v>
      </c>
      <c r="AE129" s="1" t="n">
        <v>15.63</v>
      </c>
      <c r="AF129" s="1" t="s">
        <v>77</v>
      </c>
      <c r="AG129" s="1" t="s">
        <v>78</v>
      </c>
      <c r="AH129" s="1" t="s">
        <v>112</v>
      </c>
      <c r="AI129" s="1" t="s">
        <v>86</v>
      </c>
      <c r="AJ129" s="1" t="s">
        <v>103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1</v>
      </c>
      <c r="AV129" s="1" t="n">
        <v>0</v>
      </c>
      <c r="AW129" s="1" t="n">
        <v>1</v>
      </c>
      <c r="AX129" s="1" t="n">
        <v>0</v>
      </c>
      <c r="AY129" s="1" t="n">
        <v>0</v>
      </c>
      <c r="AZ129" s="1" t="n">
        <v>0</v>
      </c>
      <c r="BA129" s="1" t="n">
        <v>1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</row>
    <row r="130" customFormat="false" ht="16.15" hidden="false" customHeight="false" outlineLevel="0" collapsed="false">
      <c r="A130" s="0" t="str">
        <f aca="false">_xlfn.CONCAT(E130, " ", D130)</f>
        <v>Mrs. Elizabeth Turner </v>
      </c>
      <c r="B130" s="0" t="str">
        <f aca="false">LEFT(D130, SEARCH(" ",D130,1))</f>
        <v>Elizabeth </v>
      </c>
      <c r="C130" s="5" t="str">
        <f aca="false">RIGHT(D130,LEN(D130)-SEARCH(" ",D130,1))</f>
        <v>Turner </v>
      </c>
      <c r="D130" s="1" t="s">
        <v>470</v>
      </c>
      <c r="E130" s="1" t="s">
        <v>154</v>
      </c>
      <c r="F130" s="1" t="s">
        <v>471</v>
      </c>
      <c r="G130" s="1" t="s">
        <v>472</v>
      </c>
      <c r="H130" s="1" t="s">
        <v>473</v>
      </c>
      <c r="I130" s="1" t="s">
        <v>70</v>
      </c>
      <c r="J130" s="1" t="n">
        <v>29100</v>
      </c>
      <c r="K130" s="1" t="n">
        <v>0</v>
      </c>
      <c r="M130" s="1" t="s">
        <v>474</v>
      </c>
      <c r="N130" s="1" t="s">
        <v>475</v>
      </c>
      <c r="O130" s="1" t="s">
        <v>148</v>
      </c>
      <c r="Q130" s="1" t="s">
        <v>248</v>
      </c>
      <c r="R130" s="1" t="s">
        <v>121</v>
      </c>
      <c r="S130" s="1" t="s">
        <v>476</v>
      </c>
      <c r="T130" s="6" t="n">
        <v>340918000000000</v>
      </c>
      <c r="V130" s="1" t="n">
        <v>10219</v>
      </c>
      <c r="W130" s="1" t="n">
        <v>5899</v>
      </c>
      <c r="X130" s="7" t="n">
        <v>0</v>
      </c>
      <c r="Y130" s="7" t="n">
        <v>0.0352418981481482</v>
      </c>
      <c r="Z130" s="1" t="n">
        <v>28.55</v>
      </c>
      <c r="AA130" s="1" t="s">
        <v>362</v>
      </c>
      <c r="AB130" s="7" t="n">
        <v>0</v>
      </c>
      <c r="AC130" s="2" t="n">
        <v>42581</v>
      </c>
      <c r="AD130" s="1" t="s">
        <v>477</v>
      </c>
      <c r="AE130" s="1" t="n">
        <v>33.63</v>
      </c>
      <c r="AF130" s="1" t="s">
        <v>77</v>
      </c>
      <c r="AG130" s="1" t="s">
        <v>85</v>
      </c>
      <c r="AH130" s="1" t="s">
        <v>112</v>
      </c>
      <c r="AI130" s="1" t="s">
        <v>86</v>
      </c>
      <c r="AJ130" s="1" t="s">
        <v>103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1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</row>
    <row r="131" customFormat="false" ht="16.15" hidden="false" customHeight="false" outlineLevel="0" collapsed="false">
      <c r="A131" s="0" t="str">
        <f aca="false">_xlfn.CONCAT(E131, " ", D131)</f>
        <v>Mr. Dwight Armenta </v>
      </c>
      <c r="B131" s="0" t="str">
        <f aca="false">LEFT(D131, SEARCH(" ",D131,1))</f>
        <v>Dwight </v>
      </c>
      <c r="C131" s="5" t="str">
        <f aca="false">RIGHT(D131,LEN(D131)-SEARCH(" ",D131,1))</f>
        <v>Armenta </v>
      </c>
      <c r="D131" s="1" t="s">
        <v>478</v>
      </c>
      <c r="E131" s="1" t="s">
        <v>66</v>
      </c>
      <c r="F131" s="1" t="s">
        <v>479</v>
      </c>
      <c r="G131" s="1" t="s">
        <v>480</v>
      </c>
      <c r="H131" s="1" t="s">
        <v>244</v>
      </c>
      <c r="I131" s="1" t="s">
        <v>145</v>
      </c>
      <c r="J131" s="1" t="n">
        <v>93307</v>
      </c>
      <c r="K131" s="1" t="n">
        <v>0</v>
      </c>
      <c r="M131" s="1" t="s">
        <v>481</v>
      </c>
      <c r="N131" s="1" t="s">
        <v>482</v>
      </c>
      <c r="O131" s="1" t="s">
        <v>200</v>
      </c>
      <c r="Q131" s="1" t="s">
        <v>97</v>
      </c>
      <c r="R131" s="1" t="s">
        <v>244</v>
      </c>
      <c r="S131" s="1" t="n">
        <v>321140626</v>
      </c>
      <c r="T131" s="6" t="n">
        <v>36846700000000</v>
      </c>
      <c r="V131" s="1" t="n">
        <v>10223</v>
      </c>
      <c r="W131" s="1" t="n">
        <v>3590</v>
      </c>
      <c r="X131" s="7" t="n">
        <v>0</v>
      </c>
      <c r="Y131" s="7" t="n">
        <v>0.0202106481481481</v>
      </c>
      <c r="Z131" s="1" t="n">
        <v>6.15</v>
      </c>
      <c r="AA131" s="1" t="s">
        <v>76</v>
      </c>
      <c r="AB131" s="7" t="n">
        <v>0</v>
      </c>
      <c r="AC131" s="2" t="n">
        <v>42578</v>
      </c>
      <c r="AD131" s="1" t="s">
        <v>483</v>
      </c>
      <c r="AE131" s="1" t="n">
        <v>80.57</v>
      </c>
      <c r="AF131" s="1" t="s">
        <v>77</v>
      </c>
      <c r="AG131" s="1" t="s">
        <v>78</v>
      </c>
      <c r="AH131" s="1" t="s">
        <v>101</v>
      </c>
      <c r="AI131" s="1" t="s">
        <v>80</v>
      </c>
      <c r="AJ131" s="1" t="s">
        <v>103</v>
      </c>
      <c r="AK131" s="1" t="n">
        <v>0</v>
      </c>
      <c r="AL131" s="1" t="n">
        <v>1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1</v>
      </c>
      <c r="AR131" s="1" t="n">
        <v>0</v>
      </c>
      <c r="AS131" s="1" t="n">
        <v>1</v>
      </c>
      <c r="AT131" s="1" t="n">
        <v>0</v>
      </c>
      <c r="AU131" s="1" t="n">
        <v>0</v>
      </c>
      <c r="AV131" s="1" t="n">
        <v>1</v>
      </c>
      <c r="AW131" s="1" t="n">
        <v>0</v>
      </c>
      <c r="AX131" s="1" t="n">
        <v>0</v>
      </c>
      <c r="AY131" s="1" t="n">
        <v>1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</row>
    <row r="132" customFormat="false" ht="16.15" hidden="false" customHeight="false" outlineLevel="0" collapsed="false">
      <c r="A132" s="0" t="str">
        <f aca="false">_xlfn.CONCAT(E132, " ", D132)</f>
        <v>Mr. Dwight Armenta </v>
      </c>
      <c r="B132" s="0" t="str">
        <f aca="false">LEFT(D132, SEARCH(" ",D132,1))</f>
        <v>Dwight </v>
      </c>
      <c r="C132" s="5" t="str">
        <f aca="false">RIGHT(D132,LEN(D132)-SEARCH(" ",D132,1))</f>
        <v>Armenta </v>
      </c>
      <c r="D132" s="1" t="s">
        <v>478</v>
      </c>
      <c r="E132" s="1" t="s">
        <v>66</v>
      </c>
      <c r="F132" s="1" t="s">
        <v>479</v>
      </c>
      <c r="G132" s="1" t="s">
        <v>480</v>
      </c>
      <c r="H132" s="1" t="s">
        <v>244</v>
      </c>
      <c r="I132" s="1" t="s">
        <v>145</v>
      </c>
      <c r="J132" s="1" t="n">
        <v>93307</v>
      </c>
      <c r="K132" s="1" t="n">
        <v>0</v>
      </c>
      <c r="M132" s="1" t="s">
        <v>481</v>
      </c>
      <c r="N132" s="1" t="s">
        <v>482</v>
      </c>
      <c r="O132" s="1" t="s">
        <v>200</v>
      </c>
      <c r="Q132" s="1" t="s">
        <v>97</v>
      </c>
      <c r="R132" s="1" t="s">
        <v>244</v>
      </c>
      <c r="S132" s="1" t="n">
        <v>321140626</v>
      </c>
      <c r="T132" s="6" t="n">
        <v>36558300000000</v>
      </c>
      <c r="V132" s="1" t="n">
        <v>10223</v>
      </c>
      <c r="W132" s="1" t="n">
        <v>4750</v>
      </c>
      <c r="X132" s="7" t="n">
        <v>0</v>
      </c>
      <c r="Y132" s="7" t="n">
        <v>0.0271550925925926</v>
      </c>
      <c r="Z132" s="1" t="n">
        <v>17.87</v>
      </c>
      <c r="AA132" s="1" t="s">
        <v>99</v>
      </c>
      <c r="AB132" s="7" t="n">
        <v>0</v>
      </c>
      <c r="AC132" s="2" t="n">
        <v>42427</v>
      </c>
      <c r="AD132" s="1" t="s">
        <v>483</v>
      </c>
      <c r="AE132" s="1" t="n">
        <v>39.36</v>
      </c>
      <c r="AF132" s="1" t="s">
        <v>77</v>
      </c>
      <c r="AG132" s="1" t="s">
        <v>78</v>
      </c>
      <c r="AH132" s="1" t="s">
        <v>101</v>
      </c>
      <c r="AI132" s="1" t="s">
        <v>86</v>
      </c>
      <c r="AJ132" s="1" t="s">
        <v>103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1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</row>
    <row r="133" customFormat="false" ht="16.15" hidden="false" customHeight="false" outlineLevel="0" collapsed="false">
      <c r="A133" s="0" t="str">
        <f aca="false">_xlfn.CONCAT(E133, " ", D133)</f>
        <v>Mr. Dwight Armenta </v>
      </c>
      <c r="B133" s="0" t="str">
        <f aca="false">LEFT(D133, SEARCH(" ",D133,1))</f>
        <v>Dwight </v>
      </c>
      <c r="C133" s="5" t="str">
        <f aca="false">RIGHT(D133,LEN(D133)-SEARCH(" ",D133,1))</f>
        <v>Armenta </v>
      </c>
      <c r="D133" s="1" t="s">
        <v>478</v>
      </c>
      <c r="E133" s="1" t="s">
        <v>66</v>
      </c>
      <c r="F133" s="1" t="s">
        <v>479</v>
      </c>
      <c r="G133" s="1" t="s">
        <v>480</v>
      </c>
      <c r="H133" s="1" t="s">
        <v>244</v>
      </c>
      <c r="I133" s="1" t="s">
        <v>145</v>
      </c>
      <c r="J133" s="1" t="n">
        <v>93307</v>
      </c>
      <c r="K133" s="1" t="n">
        <v>0</v>
      </c>
      <c r="M133" s="1" t="s">
        <v>481</v>
      </c>
      <c r="N133" s="1" t="s">
        <v>482</v>
      </c>
      <c r="O133" s="1" t="s">
        <v>200</v>
      </c>
      <c r="Q133" s="1" t="s">
        <v>97</v>
      </c>
      <c r="R133" s="1" t="s">
        <v>244</v>
      </c>
      <c r="S133" s="1" t="n">
        <v>321140626</v>
      </c>
      <c r="T133" s="6" t="n">
        <v>36743800000000</v>
      </c>
      <c r="V133" s="1" t="n">
        <v>10223</v>
      </c>
      <c r="W133" s="1" t="n">
        <v>6558</v>
      </c>
      <c r="X133" s="7" t="n">
        <v>0</v>
      </c>
      <c r="Y133" s="7" t="n">
        <v>0.0407974537037037</v>
      </c>
      <c r="Z133" s="1" t="n">
        <v>48.52</v>
      </c>
      <c r="AA133" s="1" t="s">
        <v>484</v>
      </c>
      <c r="AB133" s="7" t="n">
        <v>0</v>
      </c>
      <c r="AC133" s="2" t="n">
        <v>42650</v>
      </c>
      <c r="AD133" s="1" t="s">
        <v>483</v>
      </c>
      <c r="AE133" s="1" t="n">
        <v>106.06</v>
      </c>
      <c r="AF133" s="1" t="s">
        <v>77</v>
      </c>
      <c r="AG133" s="1" t="s">
        <v>78</v>
      </c>
      <c r="AH133" s="1" t="s">
        <v>101</v>
      </c>
      <c r="AI133" s="1" t="s">
        <v>80</v>
      </c>
      <c r="AJ133" s="1" t="s">
        <v>103</v>
      </c>
      <c r="AK133" s="1" t="n">
        <v>1</v>
      </c>
      <c r="AL133" s="1" t="n">
        <v>0</v>
      </c>
      <c r="AM133" s="1" t="n">
        <v>1</v>
      </c>
      <c r="AN133" s="1" t="n">
        <v>1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1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</row>
    <row r="134" customFormat="false" ht="16.15" hidden="false" customHeight="false" outlineLevel="0" collapsed="false">
      <c r="A134" s="0" t="str">
        <f aca="false">_xlfn.CONCAT(E134, " ", D134)</f>
        <v>Mr. Michael Pritchard </v>
      </c>
      <c r="B134" s="0" t="str">
        <f aca="false">LEFT(D134, SEARCH(" ",D134,1))</f>
        <v>Michael </v>
      </c>
      <c r="C134" s="5" t="str">
        <f aca="false">RIGHT(D134,LEN(D134)-SEARCH(" ",D134,1))</f>
        <v>Pritchard </v>
      </c>
      <c r="D134" s="1" t="s">
        <v>485</v>
      </c>
      <c r="E134" s="1" t="s">
        <v>66</v>
      </c>
      <c r="F134" s="1" t="s">
        <v>486</v>
      </c>
      <c r="G134" s="1" t="s">
        <v>487</v>
      </c>
      <c r="H134" s="1" t="s">
        <v>488</v>
      </c>
      <c r="I134" s="1" t="s">
        <v>288</v>
      </c>
      <c r="J134" s="1" t="n">
        <v>3340</v>
      </c>
      <c r="K134" s="1" t="n">
        <v>0</v>
      </c>
      <c r="M134" s="1" t="s">
        <v>489</v>
      </c>
      <c r="N134" s="1" t="s">
        <v>490</v>
      </c>
      <c r="O134" s="1" t="s">
        <v>200</v>
      </c>
      <c r="Q134" s="1" t="s">
        <v>160</v>
      </c>
      <c r="R134" s="1" t="s">
        <v>244</v>
      </c>
      <c r="S134" s="1" t="n">
        <v>329443600</v>
      </c>
      <c r="T134" s="6" t="n">
        <v>36204600000000</v>
      </c>
      <c r="V134" s="1" t="n">
        <v>10227</v>
      </c>
      <c r="W134" s="1" t="n">
        <v>2083</v>
      </c>
      <c r="X134" s="7" t="n">
        <v>0</v>
      </c>
      <c r="Y134" s="7" t="n">
        <v>0.0400393518518519</v>
      </c>
      <c r="Z134" s="1" t="n">
        <v>8.99</v>
      </c>
      <c r="AA134" s="1" t="s">
        <v>250</v>
      </c>
      <c r="AB134" s="7" t="n">
        <v>0</v>
      </c>
      <c r="AC134" s="2" t="n">
        <v>42490</v>
      </c>
      <c r="AD134" s="1" t="n">
        <v>36</v>
      </c>
      <c r="AE134" s="1" t="n">
        <v>350</v>
      </c>
      <c r="AF134" s="1" t="s">
        <v>77</v>
      </c>
      <c r="AG134" s="1" t="s">
        <v>78</v>
      </c>
      <c r="AH134" s="1" t="s">
        <v>112</v>
      </c>
      <c r="AI134" s="1" t="s">
        <v>86</v>
      </c>
      <c r="AJ134" s="1" t="s">
        <v>81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1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</row>
    <row r="135" customFormat="false" ht="16.15" hidden="false" customHeight="false" outlineLevel="0" collapsed="false">
      <c r="A135" s="0" t="str">
        <f aca="false">_xlfn.CONCAT(E135, " ", D135)</f>
        <v>Mr. Michael Pritchard </v>
      </c>
      <c r="B135" s="0" t="str">
        <f aca="false">LEFT(D135, SEARCH(" ",D135,1))</f>
        <v>Michael </v>
      </c>
      <c r="C135" s="5" t="str">
        <f aca="false">RIGHT(D135,LEN(D135)-SEARCH(" ",D135,1))</f>
        <v>Pritchard </v>
      </c>
      <c r="D135" s="1" t="s">
        <v>485</v>
      </c>
      <c r="E135" s="1" t="s">
        <v>66</v>
      </c>
      <c r="F135" s="1" t="s">
        <v>486</v>
      </c>
      <c r="G135" s="1" t="s">
        <v>487</v>
      </c>
      <c r="H135" s="1" t="s">
        <v>488</v>
      </c>
      <c r="I135" s="1" t="s">
        <v>288</v>
      </c>
      <c r="J135" s="1" t="n">
        <v>3340</v>
      </c>
      <c r="K135" s="1" t="n">
        <v>0</v>
      </c>
      <c r="M135" s="1" t="s">
        <v>489</v>
      </c>
      <c r="N135" s="1" t="s">
        <v>490</v>
      </c>
      <c r="O135" s="1" t="s">
        <v>200</v>
      </c>
      <c r="Q135" s="1" t="s">
        <v>160</v>
      </c>
      <c r="R135" s="1" t="s">
        <v>244</v>
      </c>
      <c r="S135" s="1" t="n">
        <v>329443600</v>
      </c>
      <c r="T135" s="6" t="n">
        <v>36391100000000</v>
      </c>
      <c r="V135" s="1" t="n">
        <v>10227</v>
      </c>
      <c r="W135" s="1" t="n">
        <v>3492</v>
      </c>
      <c r="X135" s="7" t="n">
        <v>0</v>
      </c>
      <c r="Y135" s="7" t="n">
        <v>0.0311643518518519</v>
      </c>
      <c r="Z135" s="1" t="n">
        <v>8.23</v>
      </c>
      <c r="AA135" s="1" t="s">
        <v>201</v>
      </c>
      <c r="AB135" s="7" t="n">
        <v>0</v>
      </c>
      <c r="AC135" s="2" t="n">
        <v>42394</v>
      </c>
      <c r="AD135" s="1" t="n">
        <v>36</v>
      </c>
      <c r="AE135" s="1" t="n">
        <v>16</v>
      </c>
      <c r="AF135" s="1" t="s">
        <v>129</v>
      </c>
      <c r="AG135" s="1" t="s">
        <v>78</v>
      </c>
      <c r="AH135" s="1" t="s">
        <v>112</v>
      </c>
      <c r="AI135" s="1" t="s">
        <v>86</v>
      </c>
      <c r="AJ135" s="1" t="s">
        <v>81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1</v>
      </c>
      <c r="AV135" s="1" t="n">
        <v>0</v>
      </c>
      <c r="AW135" s="1" t="n">
        <v>1</v>
      </c>
      <c r="AX135" s="1" t="n">
        <v>0</v>
      </c>
      <c r="AY135" s="1" t="n">
        <v>0</v>
      </c>
      <c r="AZ135" s="1" t="n">
        <v>0</v>
      </c>
      <c r="BA135" s="1" t="n">
        <v>1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</row>
    <row r="136" customFormat="false" ht="16.15" hidden="false" customHeight="false" outlineLevel="0" collapsed="false">
      <c r="A136" s="0" t="str">
        <f aca="false">_xlfn.CONCAT(E136, " ", D136)</f>
        <v>Mrs. Elizabeth Martinez </v>
      </c>
      <c r="B136" s="0" t="str">
        <f aca="false">LEFT(D136, SEARCH(" ",D136,1))</f>
        <v>Elizabeth </v>
      </c>
      <c r="C136" s="5" t="str">
        <f aca="false">RIGHT(D136,LEN(D136)-SEARCH(" ",D136,1))</f>
        <v>Martinez </v>
      </c>
      <c r="D136" s="1" t="s">
        <v>491</v>
      </c>
      <c r="E136" s="1" t="s">
        <v>154</v>
      </c>
      <c r="F136" s="1" t="s">
        <v>492</v>
      </c>
      <c r="G136" s="1" t="s">
        <v>493</v>
      </c>
      <c r="H136" s="1" t="s">
        <v>234</v>
      </c>
      <c r="I136" s="1" t="s">
        <v>145</v>
      </c>
      <c r="J136" s="1" t="n">
        <v>21202</v>
      </c>
      <c r="K136" s="1" t="n">
        <v>0</v>
      </c>
      <c r="M136" s="1" t="s">
        <v>494</v>
      </c>
      <c r="N136" s="1" t="s">
        <v>495</v>
      </c>
      <c r="O136" s="1" t="s">
        <v>200</v>
      </c>
      <c r="Q136" s="1" t="s">
        <v>496</v>
      </c>
      <c r="R136" s="1" t="s">
        <v>70</v>
      </c>
      <c r="S136" s="1" t="s">
        <v>497</v>
      </c>
      <c r="T136" s="6" t="n">
        <v>36165000000000</v>
      </c>
      <c r="V136" s="1" t="n">
        <v>10231</v>
      </c>
      <c r="W136" s="1" t="n">
        <v>569</v>
      </c>
      <c r="X136" s="7" t="n">
        <v>0</v>
      </c>
      <c r="Y136" s="7" t="n">
        <v>0.00528240740740741</v>
      </c>
      <c r="Z136" s="1" t="n">
        <v>7.12</v>
      </c>
      <c r="AA136" s="1" t="s">
        <v>89</v>
      </c>
      <c r="AB136" s="7" t="n">
        <v>0</v>
      </c>
      <c r="AC136" s="2" t="n">
        <v>42372</v>
      </c>
      <c r="AD136" s="1" t="n">
        <v>73</v>
      </c>
      <c r="AE136" s="1" t="n">
        <v>250.36</v>
      </c>
      <c r="AF136" s="1" t="s">
        <v>77</v>
      </c>
      <c r="AG136" s="1" t="s">
        <v>85</v>
      </c>
      <c r="AH136" s="1" t="s">
        <v>79</v>
      </c>
      <c r="AI136" s="1" t="s">
        <v>102</v>
      </c>
      <c r="AJ136" s="1" t="s">
        <v>113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1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1</v>
      </c>
      <c r="BA136" s="1" t="n">
        <v>0</v>
      </c>
      <c r="BB136" s="1" t="n">
        <v>1</v>
      </c>
      <c r="BC136" s="1" t="n">
        <v>0</v>
      </c>
      <c r="BD136" s="1" t="n">
        <v>0</v>
      </c>
      <c r="BE136" s="1" t="n">
        <v>0</v>
      </c>
      <c r="BF136" s="1" t="n">
        <v>1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1</v>
      </c>
      <c r="BM136" s="1" t="n">
        <v>0</v>
      </c>
    </row>
    <row r="137" customFormat="false" ht="16.15" hidden="false" customHeight="false" outlineLevel="0" collapsed="false">
      <c r="A137" s="0" t="str">
        <f aca="false">_xlfn.CONCAT(E137, " ", D137)</f>
        <v>Mrs. Elizabeth Martinez </v>
      </c>
      <c r="B137" s="0" t="str">
        <f aca="false">LEFT(D137, SEARCH(" ",D137,1))</f>
        <v>Elizabeth </v>
      </c>
      <c r="C137" s="5" t="str">
        <f aca="false">RIGHT(D137,LEN(D137)-SEARCH(" ",D137,1))</f>
        <v>Martinez </v>
      </c>
      <c r="D137" s="1" t="s">
        <v>491</v>
      </c>
      <c r="E137" s="1" t="s">
        <v>154</v>
      </c>
      <c r="F137" s="1" t="s">
        <v>492</v>
      </c>
      <c r="G137" s="1" t="s">
        <v>493</v>
      </c>
      <c r="H137" s="1" t="s">
        <v>234</v>
      </c>
      <c r="I137" s="1" t="s">
        <v>145</v>
      </c>
      <c r="J137" s="1" t="n">
        <v>21202</v>
      </c>
      <c r="K137" s="1" t="n">
        <v>0</v>
      </c>
      <c r="M137" s="1" t="s">
        <v>494</v>
      </c>
      <c r="N137" s="1" t="s">
        <v>495</v>
      </c>
      <c r="O137" s="1" t="s">
        <v>200</v>
      </c>
      <c r="Q137" s="1" t="s">
        <v>496</v>
      </c>
      <c r="R137" s="1" t="s">
        <v>70</v>
      </c>
      <c r="S137" s="1" t="s">
        <v>497</v>
      </c>
      <c r="T137" s="6" t="n">
        <v>36774400000000</v>
      </c>
      <c r="V137" s="1" t="n">
        <v>10231</v>
      </c>
      <c r="W137" s="1" t="n">
        <v>1479</v>
      </c>
      <c r="X137" s="7" t="n">
        <v>0.0329282407407407</v>
      </c>
      <c r="Y137" s="7" t="n">
        <v>0.0329328703703704</v>
      </c>
      <c r="Z137" s="1" t="n">
        <v>13.7</v>
      </c>
      <c r="AA137" s="1" t="s">
        <v>294</v>
      </c>
      <c r="AB137" s="7" t="n">
        <v>0.0329282407407407</v>
      </c>
      <c r="AC137" s="2" t="n">
        <v>42498</v>
      </c>
      <c r="AD137" s="1" t="n">
        <v>73</v>
      </c>
      <c r="AE137" s="1" t="n">
        <v>181.03</v>
      </c>
      <c r="AF137" s="1" t="s">
        <v>77</v>
      </c>
      <c r="AG137" s="1" t="s">
        <v>85</v>
      </c>
      <c r="AH137" s="1" t="s">
        <v>79</v>
      </c>
      <c r="AI137" s="1" t="s">
        <v>102</v>
      </c>
      <c r="AJ137" s="1" t="s">
        <v>113</v>
      </c>
      <c r="AK137" s="1" t="n">
        <v>0</v>
      </c>
      <c r="AL137" s="1" t="n">
        <v>1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1</v>
      </c>
      <c r="AT137" s="1" t="n">
        <v>1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1</v>
      </c>
      <c r="BC137" s="1" t="n">
        <v>0</v>
      </c>
      <c r="BD137" s="1" t="n">
        <v>0</v>
      </c>
      <c r="BE137" s="1" t="n">
        <v>0</v>
      </c>
      <c r="BF137" s="1" t="n">
        <v>1</v>
      </c>
      <c r="BG137" s="1" t="n">
        <v>0</v>
      </c>
      <c r="BH137" s="1" t="n">
        <v>0</v>
      </c>
      <c r="BI137" s="1" t="n">
        <v>0</v>
      </c>
      <c r="BJ137" s="1" t="n">
        <v>1</v>
      </c>
      <c r="BK137" s="1" t="n">
        <v>0</v>
      </c>
      <c r="BL137" s="1" t="n">
        <v>1</v>
      </c>
      <c r="BM137" s="1" t="n">
        <v>0</v>
      </c>
    </row>
    <row r="138" customFormat="false" ht="16.15" hidden="false" customHeight="false" outlineLevel="0" collapsed="false">
      <c r="A138" s="0" t="str">
        <f aca="false">_xlfn.CONCAT(E138, " ", D138)</f>
        <v>Mrs. Mary Bates </v>
      </c>
      <c r="B138" s="0" t="str">
        <f aca="false">LEFT(D138, SEARCH(" ",D138,1))</f>
        <v>Mary </v>
      </c>
      <c r="C138" s="5" t="str">
        <f aca="false">RIGHT(D138,LEN(D138)-SEARCH(" ",D138,1))</f>
        <v>Bates </v>
      </c>
      <c r="D138" s="1" t="s">
        <v>498</v>
      </c>
      <c r="E138" s="1" t="s">
        <v>154</v>
      </c>
      <c r="F138" s="1" t="s">
        <v>499</v>
      </c>
      <c r="G138" s="1" t="s">
        <v>493</v>
      </c>
      <c r="H138" s="1" t="s">
        <v>234</v>
      </c>
      <c r="I138" s="1" t="s">
        <v>145</v>
      </c>
      <c r="J138" s="1" t="n">
        <v>21201</v>
      </c>
      <c r="K138" s="1" t="n">
        <v>0</v>
      </c>
      <c r="M138" s="1" t="s">
        <v>500</v>
      </c>
      <c r="N138" s="1" t="s">
        <v>501</v>
      </c>
      <c r="O138" s="1" t="s">
        <v>200</v>
      </c>
      <c r="Q138" s="1" t="s">
        <v>193</v>
      </c>
      <c r="R138" s="1" t="s">
        <v>121</v>
      </c>
      <c r="S138" s="1" t="s">
        <v>502</v>
      </c>
      <c r="T138" s="6" t="n">
        <v>36810400000000</v>
      </c>
      <c r="V138" s="1" t="n">
        <v>10235</v>
      </c>
      <c r="W138" s="1" t="n">
        <v>1511</v>
      </c>
      <c r="X138" s="7" t="n">
        <v>0</v>
      </c>
      <c r="Y138" s="7" t="n">
        <v>0.0193935185185185</v>
      </c>
      <c r="Z138" s="1" t="n">
        <v>33.85</v>
      </c>
      <c r="AA138" s="1" t="s">
        <v>188</v>
      </c>
      <c r="AB138" s="7" t="n">
        <v>0</v>
      </c>
      <c r="AC138" s="2" t="n">
        <v>42652</v>
      </c>
      <c r="AD138" s="1" t="s">
        <v>100</v>
      </c>
      <c r="AE138" s="1" t="n">
        <v>31.51</v>
      </c>
      <c r="AF138" s="1" t="s">
        <v>77</v>
      </c>
      <c r="AG138" s="1" t="s">
        <v>78</v>
      </c>
      <c r="AH138" s="1" t="s">
        <v>112</v>
      </c>
      <c r="AI138" s="1" t="s">
        <v>86</v>
      </c>
      <c r="AJ138" s="1" t="s">
        <v>103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1</v>
      </c>
      <c r="AV138" s="1" t="n">
        <v>0</v>
      </c>
      <c r="AW138" s="1" t="n">
        <v>1</v>
      </c>
      <c r="AX138" s="1" t="n">
        <v>1</v>
      </c>
      <c r="AY138" s="1" t="n">
        <v>0</v>
      </c>
      <c r="AZ138" s="1" t="n">
        <v>0</v>
      </c>
      <c r="BA138" s="1" t="n">
        <v>1</v>
      </c>
      <c r="BB138" s="1" t="n">
        <v>0</v>
      </c>
      <c r="BC138" s="1" t="n">
        <v>0</v>
      </c>
      <c r="BD138" s="1" t="n">
        <v>0</v>
      </c>
      <c r="BE138" s="1" t="n">
        <v>1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</row>
    <row r="139" customFormat="false" ht="16.15" hidden="false" customHeight="false" outlineLevel="0" collapsed="false">
      <c r="A139" s="0" t="str">
        <f aca="false">_xlfn.CONCAT(E139, " ", D139)</f>
        <v>Mrs. Mary Bates </v>
      </c>
      <c r="B139" s="0" t="str">
        <f aca="false">LEFT(D139, SEARCH(" ",D139,1))</f>
        <v>Mary </v>
      </c>
      <c r="C139" s="5" t="str">
        <f aca="false">RIGHT(D139,LEN(D139)-SEARCH(" ",D139,1))</f>
        <v>Bates </v>
      </c>
      <c r="D139" s="1" t="s">
        <v>498</v>
      </c>
      <c r="E139" s="1" t="s">
        <v>154</v>
      </c>
      <c r="F139" s="1" t="s">
        <v>499</v>
      </c>
      <c r="G139" s="1" t="s">
        <v>493</v>
      </c>
      <c r="H139" s="1" t="s">
        <v>234</v>
      </c>
      <c r="I139" s="1" t="s">
        <v>145</v>
      </c>
      <c r="J139" s="1" t="n">
        <v>21201</v>
      </c>
      <c r="K139" s="1" t="n">
        <v>0</v>
      </c>
      <c r="M139" s="1" t="s">
        <v>500</v>
      </c>
      <c r="N139" s="1" t="s">
        <v>501</v>
      </c>
      <c r="O139" s="1" t="s">
        <v>200</v>
      </c>
      <c r="Q139" s="1" t="s">
        <v>193</v>
      </c>
      <c r="R139" s="1" t="s">
        <v>121</v>
      </c>
      <c r="S139" s="1" t="s">
        <v>502</v>
      </c>
      <c r="T139" s="6" t="n">
        <v>36432000000000</v>
      </c>
      <c r="V139" s="1" t="n">
        <v>10235</v>
      </c>
      <c r="W139" s="1" t="n">
        <v>4669</v>
      </c>
      <c r="X139" s="7" t="n">
        <v>0</v>
      </c>
      <c r="Y139" s="7" t="n">
        <v>0.0352418981481482</v>
      </c>
      <c r="Z139" s="1" t="n">
        <v>18.45</v>
      </c>
      <c r="AA139" s="1" t="s">
        <v>387</v>
      </c>
      <c r="AB139" s="7" t="n">
        <v>0</v>
      </c>
      <c r="AC139" s="2" t="n">
        <v>42650</v>
      </c>
      <c r="AD139" s="1" t="s">
        <v>100</v>
      </c>
      <c r="AE139" s="1" t="n">
        <v>48.23</v>
      </c>
      <c r="AF139" s="1" t="s">
        <v>77</v>
      </c>
      <c r="AG139" s="1" t="s">
        <v>85</v>
      </c>
      <c r="AH139" s="1" t="s">
        <v>112</v>
      </c>
      <c r="AI139" s="1" t="s">
        <v>86</v>
      </c>
      <c r="AJ139" s="1" t="s">
        <v>103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1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</row>
    <row r="140" customFormat="false" ht="16.15" hidden="false" customHeight="false" outlineLevel="0" collapsed="false">
      <c r="A140" s="0" t="str">
        <f aca="false">_xlfn.CONCAT(E140, " ", D140)</f>
        <v>Mrs. Mandy Fernandez </v>
      </c>
      <c r="B140" s="0" t="str">
        <f aca="false">LEFT(D140, SEARCH(" ",D140,1))</f>
        <v>Mandy </v>
      </c>
      <c r="C140" s="5" t="str">
        <f aca="false">RIGHT(D140,LEN(D140)-SEARCH(" ",D140,1))</f>
        <v>Fernandez </v>
      </c>
      <c r="D140" s="1" t="s">
        <v>503</v>
      </c>
      <c r="E140" s="1" t="s">
        <v>154</v>
      </c>
      <c r="F140" s="1" t="s">
        <v>504</v>
      </c>
      <c r="G140" s="1" t="s">
        <v>505</v>
      </c>
      <c r="H140" s="1" t="s">
        <v>342</v>
      </c>
      <c r="I140" s="1" t="s">
        <v>288</v>
      </c>
      <c r="J140" s="1" t="n">
        <v>2486</v>
      </c>
      <c r="K140" s="1" t="n">
        <v>0</v>
      </c>
      <c r="M140" s="1" t="s">
        <v>506</v>
      </c>
      <c r="N140" s="1" t="s">
        <v>507</v>
      </c>
      <c r="O140" s="1" t="s">
        <v>73</v>
      </c>
      <c r="Q140" s="1" t="s">
        <v>293</v>
      </c>
      <c r="R140" s="1" t="s">
        <v>121</v>
      </c>
      <c r="S140" s="1" t="s">
        <v>508</v>
      </c>
      <c r="T140" s="6" t="n">
        <v>5167670000000000</v>
      </c>
      <c r="V140" s="1" t="n">
        <v>10239</v>
      </c>
      <c r="W140" s="1" t="n">
        <v>5977</v>
      </c>
      <c r="X140" s="7" t="n">
        <v>0</v>
      </c>
      <c r="Y140" s="7" t="n">
        <v>0.0255196759259259</v>
      </c>
      <c r="Z140" s="1" t="n">
        <v>9.51</v>
      </c>
      <c r="AA140" s="1" t="s">
        <v>402</v>
      </c>
      <c r="AB140" s="7" t="n">
        <v>0</v>
      </c>
      <c r="AC140" s="2" t="n">
        <v>42571</v>
      </c>
      <c r="AD140" s="1" t="n">
        <v>42</v>
      </c>
      <c r="AE140" s="1" t="n">
        <v>32.99</v>
      </c>
      <c r="AF140" s="1" t="s">
        <v>77</v>
      </c>
      <c r="AG140" s="1" t="s">
        <v>78</v>
      </c>
      <c r="AH140" s="1" t="s">
        <v>112</v>
      </c>
      <c r="AI140" s="1" t="s">
        <v>86</v>
      </c>
      <c r="AJ140" s="1" t="s">
        <v>152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1</v>
      </c>
      <c r="AV140" s="1" t="n">
        <v>0</v>
      </c>
      <c r="AW140" s="1" t="n">
        <v>1</v>
      </c>
      <c r="AX140" s="1" t="n">
        <v>0</v>
      </c>
      <c r="AY140" s="1" t="n">
        <v>0</v>
      </c>
      <c r="AZ140" s="1" t="n">
        <v>0</v>
      </c>
      <c r="BA140" s="1" t="n">
        <v>1</v>
      </c>
      <c r="BB140" s="1" t="n">
        <v>0</v>
      </c>
      <c r="BC140" s="1" t="n">
        <v>0</v>
      </c>
      <c r="BD140" s="1" t="n">
        <v>0</v>
      </c>
      <c r="BE140" s="1" t="n">
        <v>1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</row>
    <row r="141" customFormat="false" ht="16.15" hidden="false" customHeight="false" outlineLevel="0" collapsed="false">
      <c r="A141" s="0" t="str">
        <f aca="false">_xlfn.CONCAT(E141, " ", D141)</f>
        <v>Mrs. Megan Mauro </v>
      </c>
      <c r="B141" s="0" t="str">
        <f aca="false">LEFT(D141, SEARCH(" ",D141,1))</f>
        <v>Megan </v>
      </c>
      <c r="C141" s="5" t="str">
        <f aca="false">RIGHT(D141,LEN(D141)-SEARCH(" ",D141,1))</f>
        <v>Mauro </v>
      </c>
      <c r="D141" s="1" t="s">
        <v>509</v>
      </c>
      <c r="E141" s="1" t="s">
        <v>154</v>
      </c>
      <c r="F141" s="1" t="s">
        <v>510</v>
      </c>
      <c r="G141" s="1" t="s">
        <v>511</v>
      </c>
      <c r="H141" s="1" t="s">
        <v>512</v>
      </c>
      <c r="I141" s="1" t="s">
        <v>145</v>
      </c>
      <c r="J141" s="1" t="n">
        <v>29812</v>
      </c>
      <c r="K141" s="1" t="n">
        <v>0</v>
      </c>
      <c r="M141" s="1" t="s">
        <v>513</v>
      </c>
      <c r="N141" s="1" t="s">
        <v>514</v>
      </c>
      <c r="O141" s="1" t="s">
        <v>96</v>
      </c>
      <c r="Q141" s="1" t="s">
        <v>239</v>
      </c>
      <c r="R141" s="1" t="s">
        <v>244</v>
      </c>
      <c r="S141" s="1" t="n">
        <v>391138112</v>
      </c>
      <c r="T141" s="6" t="n">
        <v>4770340000000000</v>
      </c>
      <c r="V141" s="1" t="n">
        <v>10243</v>
      </c>
      <c r="W141" s="1" t="n">
        <v>8013</v>
      </c>
      <c r="X141" s="7" t="n">
        <v>0</v>
      </c>
      <c r="Y141" s="7" t="n">
        <v>0.0157013888888889</v>
      </c>
      <c r="Z141" s="1" t="n">
        <v>2.87</v>
      </c>
      <c r="AA141" s="1" t="s">
        <v>331</v>
      </c>
      <c r="AB141" s="7" t="n">
        <v>0</v>
      </c>
      <c r="AC141" s="2" t="n">
        <v>42617</v>
      </c>
      <c r="AD141" s="1" t="n">
        <v>48</v>
      </c>
      <c r="AE141" s="1" t="n">
        <v>41.89</v>
      </c>
      <c r="AF141" s="1" t="s">
        <v>129</v>
      </c>
      <c r="AG141" s="1" t="s">
        <v>78</v>
      </c>
      <c r="AH141" s="1" t="s">
        <v>112</v>
      </c>
      <c r="AI141" s="1" t="s">
        <v>86</v>
      </c>
      <c r="AJ141" s="1" t="s">
        <v>152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1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</row>
    <row r="142" customFormat="false" ht="16.15" hidden="false" customHeight="false" outlineLevel="0" collapsed="false">
      <c r="A142" s="0" t="str">
        <f aca="false">_xlfn.CONCAT(E142, " ", D142)</f>
        <v>Mr. John Riley </v>
      </c>
      <c r="B142" s="0" t="str">
        <f aca="false">LEFT(D142, SEARCH(" ",D142,1))</f>
        <v>John </v>
      </c>
      <c r="C142" s="5" t="str">
        <f aca="false">RIGHT(D142,LEN(D142)-SEARCH(" ",D142,1))</f>
        <v>Riley </v>
      </c>
      <c r="D142" s="1" t="s">
        <v>515</v>
      </c>
      <c r="E142" s="1" t="s">
        <v>66</v>
      </c>
      <c r="F142" s="1" t="s">
        <v>516</v>
      </c>
      <c r="G142" s="1" t="s">
        <v>517</v>
      </c>
      <c r="I142" s="1" t="s">
        <v>93</v>
      </c>
      <c r="J142" s="1" t="n">
        <v>22885</v>
      </c>
      <c r="K142" s="1" t="n">
        <v>0</v>
      </c>
      <c r="M142" s="1" t="s">
        <v>518</v>
      </c>
      <c r="N142" s="1" t="s">
        <v>519</v>
      </c>
      <c r="O142" s="1" t="s">
        <v>124</v>
      </c>
      <c r="Q142" s="1" t="s">
        <v>188</v>
      </c>
      <c r="R142" s="1" t="s">
        <v>75</v>
      </c>
      <c r="S142" s="1" t="n">
        <v>441590001</v>
      </c>
      <c r="T142" s="6" t="n">
        <v>6011000000000000</v>
      </c>
      <c r="V142" s="1" t="n">
        <v>10247</v>
      </c>
      <c r="W142" s="1" t="n">
        <v>1401</v>
      </c>
      <c r="X142" s="7" t="n">
        <v>0</v>
      </c>
      <c r="Y142" s="7" t="n">
        <v>0.0193865740740741</v>
      </c>
      <c r="Z142" s="1" t="n">
        <v>8.15</v>
      </c>
      <c r="AA142" s="1" t="s">
        <v>248</v>
      </c>
      <c r="AB142" s="7" t="n">
        <v>0</v>
      </c>
      <c r="AC142" s="2" t="n">
        <v>42651</v>
      </c>
      <c r="AD142" s="1" t="n">
        <v>40</v>
      </c>
      <c r="AE142" s="1" t="n">
        <v>100.5</v>
      </c>
      <c r="AF142" s="1" t="s">
        <v>83</v>
      </c>
      <c r="AG142" s="1" t="s">
        <v>78</v>
      </c>
      <c r="AH142" s="1" t="s">
        <v>112</v>
      </c>
      <c r="AI142" s="1" t="s">
        <v>86</v>
      </c>
      <c r="AJ142" s="1" t="s">
        <v>81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1</v>
      </c>
      <c r="AV142" s="1" t="n">
        <v>0</v>
      </c>
      <c r="AW142" s="1" t="n">
        <v>1</v>
      </c>
      <c r="AX142" s="1" t="n">
        <v>0</v>
      </c>
      <c r="AY142" s="1" t="n">
        <v>0</v>
      </c>
      <c r="AZ142" s="1" t="n">
        <v>0</v>
      </c>
      <c r="BA142" s="1" t="n">
        <v>1</v>
      </c>
      <c r="BB142" s="1" t="n">
        <v>0</v>
      </c>
      <c r="BC142" s="1" t="n">
        <v>0</v>
      </c>
      <c r="BD142" s="1" t="n">
        <v>0</v>
      </c>
      <c r="BE142" s="1" t="n">
        <v>1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</row>
    <row r="143" customFormat="false" ht="16.15" hidden="false" customHeight="false" outlineLevel="0" collapsed="false">
      <c r="A143" s="0" t="str">
        <f aca="false">_xlfn.CONCAT(E143, " ", D143)</f>
        <v>Mr. Felix Myers </v>
      </c>
      <c r="B143" s="0" t="str">
        <f aca="false">LEFT(D143, SEARCH(" ",D143,1))</f>
        <v>Felix </v>
      </c>
      <c r="C143" s="5" t="str">
        <f aca="false">RIGHT(D143,LEN(D143)-SEARCH(" ",D143,1))</f>
        <v>Myers </v>
      </c>
      <c r="D143" s="1" t="s">
        <v>520</v>
      </c>
      <c r="E143" s="1" t="s">
        <v>66</v>
      </c>
      <c r="F143" s="1" t="s">
        <v>521</v>
      </c>
      <c r="G143" s="1" t="s">
        <v>522</v>
      </c>
      <c r="H143" s="1" t="s">
        <v>523</v>
      </c>
      <c r="I143" s="1" t="s">
        <v>70</v>
      </c>
      <c r="J143" s="1" t="n">
        <v>7020</v>
      </c>
      <c r="K143" s="1" t="n">
        <v>0</v>
      </c>
      <c r="M143" s="1" t="s">
        <v>524</v>
      </c>
      <c r="N143" s="1" t="s">
        <v>525</v>
      </c>
      <c r="O143" s="1" t="s">
        <v>96</v>
      </c>
      <c r="Q143" s="1" t="s">
        <v>87</v>
      </c>
      <c r="R143" s="1" t="s">
        <v>385</v>
      </c>
      <c r="S143" s="1" t="s">
        <v>526</v>
      </c>
      <c r="T143" s="6" t="n">
        <v>4907840000000000</v>
      </c>
      <c r="V143" s="1" t="n">
        <v>10251</v>
      </c>
      <c r="W143" s="1" t="n">
        <v>4555</v>
      </c>
      <c r="X143" s="7" t="n">
        <v>0</v>
      </c>
      <c r="Y143" s="7" t="n">
        <v>0.0177847222222222</v>
      </c>
      <c r="Z143" s="1" t="n">
        <v>12</v>
      </c>
      <c r="AA143" s="1" t="s">
        <v>211</v>
      </c>
      <c r="AB143" s="7" t="n">
        <v>0</v>
      </c>
      <c r="AC143" s="2" t="n">
        <v>42459</v>
      </c>
      <c r="AD143" s="1" t="n">
        <v>52</v>
      </c>
      <c r="AE143" s="1" t="n">
        <v>50.43</v>
      </c>
      <c r="AF143" s="1" t="s">
        <v>77</v>
      </c>
      <c r="AG143" s="1" t="s">
        <v>78</v>
      </c>
      <c r="AH143" s="1" t="s">
        <v>112</v>
      </c>
      <c r="AI143" s="1" t="s">
        <v>86</v>
      </c>
      <c r="AJ143" s="1" t="s">
        <v>113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1</v>
      </c>
      <c r="AV143" s="1" t="n">
        <v>0</v>
      </c>
      <c r="AW143" s="1" t="n">
        <v>1</v>
      </c>
      <c r="AX143" s="1" t="n">
        <v>1</v>
      </c>
      <c r="AY143" s="1" t="n">
        <v>0</v>
      </c>
      <c r="AZ143" s="1" t="n">
        <v>0</v>
      </c>
      <c r="BA143" s="1" t="n">
        <v>1</v>
      </c>
      <c r="BB143" s="1" t="n">
        <v>0</v>
      </c>
      <c r="BC143" s="1" t="n">
        <v>0</v>
      </c>
      <c r="BD143" s="1" t="n">
        <v>0</v>
      </c>
      <c r="BE143" s="1" t="n">
        <v>1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</row>
    <row r="144" customFormat="false" ht="16.15" hidden="false" customHeight="false" outlineLevel="0" collapsed="false">
      <c r="A144" s="0" t="str">
        <f aca="false">_xlfn.CONCAT(E144, " ", D144)</f>
        <v>Mr. Felix Myers </v>
      </c>
      <c r="B144" s="0" t="str">
        <f aca="false">LEFT(D144, SEARCH(" ",D144,1))</f>
        <v>Felix </v>
      </c>
      <c r="C144" s="5" t="str">
        <f aca="false">RIGHT(D144,LEN(D144)-SEARCH(" ",D144,1))</f>
        <v>Myers </v>
      </c>
      <c r="D144" s="1" t="s">
        <v>520</v>
      </c>
      <c r="E144" s="1" t="s">
        <v>66</v>
      </c>
      <c r="F144" s="1" t="s">
        <v>521</v>
      </c>
      <c r="G144" s="1" t="s">
        <v>527</v>
      </c>
      <c r="H144" s="1" t="s">
        <v>523</v>
      </c>
      <c r="I144" s="1" t="s">
        <v>70</v>
      </c>
      <c r="J144" s="1" t="n">
        <v>7020</v>
      </c>
      <c r="K144" s="1" t="n">
        <v>0</v>
      </c>
      <c r="M144" s="1" t="s">
        <v>524</v>
      </c>
      <c r="N144" s="1" t="s">
        <v>525</v>
      </c>
      <c r="O144" s="1" t="s">
        <v>96</v>
      </c>
      <c r="Q144" s="1" t="s">
        <v>87</v>
      </c>
      <c r="R144" s="1" t="s">
        <v>385</v>
      </c>
      <c r="S144" s="1" t="s">
        <v>526</v>
      </c>
      <c r="T144" s="6" t="n">
        <v>4902780000000000</v>
      </c>
      <c r="V144" s="1" t="n">
        <v>10251</v>
      </c>
      <c r="W144" s="1" t="n">
        <v>6092</v>
      </c>
      <c r="X144" s="7" t="n">
        <v>0</v>
      </c>
      <c r="Y144" s="7" t="n">
        <v>0.0238032407407407</v>
      </c>
      <c r="Z144" s="1" t="n">
        <v>22.5</v>
      </c>
      <c r="AA144" s="1" t="s">
        <v>223</v>
      </c>
      <c r="AB144" s="7" t="n">
        <v>0</v>
      </c>
      <c r="AC144" s="2" t="n">
        <v>42622</v>
      </c>
      <c r="AD144" s="1" t="n">
        <v>52</v>
      </c>
      <c r="AE144" s="1" t="n">
        <v>39</v>
      </c>
      <c r="AF144" s="1" t="s">
        <v>77</v>
      </c>
      <c r="AG144" s="1" t="s">
        <v>78</v>
      </c>
      <c r="AH144" s="1" t="s">
        <v>112</v>
      </c>
      <c r="AI144" s="1" t="s">
        <v>86</v>
      </c>
      <c r="AJ144" s="1" t="s">
        <v>113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1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</row>
    <row r="145" customFormat="false" ht="16.15" hidden="false" customHeight="false" outlineLevel="0" collapsed="false">
      <c r="A145" s="0" t="str">
        <f aca="false">_xlfn.CONCAT(E145, " ", D145)</f>
        <v>Mr. Felix Myers </v>
      </c>
      <c r="B145" s="0" t="str">
        <f aca="false">LEFT(D145, SEARCH(" ",D145,1))</f>
        <v>Felix </v>
      </c>
      <c r="C145" s="5" t="str">
        <f aca="false">RIGHT(D145,LEN(D145)-SEARCH(" ",D145,1))</f>
        <v>Myers </v>
      </c>
      <c r="D145" s="1" t="s">
        <v>520</v>
      </c>
      <c r="E145" s="1" t="s">
        <v>66</v>
      </c>
      <c r="F145" s="1" t="s">
        <v>521</v>
      </c>
      <c r="G145" s="1" t="s">
        <v>527</v>
      </c>
      <c r="H145" s="1" t="s">
        <v>523</v>
      </c>
      <c r="I145" s="1" t="s">
        <v>70</v>
      </c>
      <c r="J145" s="1" t="n">
        <v>7020</v>
      </c>
      <c r="K145" s="1" t="n">
        <v>0</v>
      </c>
      <c r="M145" s="1" t="s">
        <v>524</v>
      </c>
      <c r="N145" s="1" t="s">
        <v>525</v>
      </c>
      <c r="O145" s="1" t="s">
        <v>96</v>
      </c>
      <c r="Q145" s="1" t="s">
        <v>87</v>
      </c>
      <c r="R145" s="1" t="s">
        <v>385</v>
      </c>
      <c r="S145" s="1" t="s">
        <v>526</v>
      </c>
      <c r="T145" s="6" t="n">
        <v>4702330000000000</v>
      </c>
      <c r="V145" s="1" t="n">
        <v>10251</v>
      </c>
      <c r="W145" s="1" t="n">
        <v>6612</v>
      </c>
      <c r="X145" s="7" t="n">
        <v>0</v>
      </c>
      <c r="Y145" s="7" t="n">
        <v>0.0193935185185185</v>
      </c>
      <c r="Z145" s="1" t="n">
        <v>13.7</v>
      </c>
      <c r="AA145" s="1" t="s">
        <v>276</v>
      </c>
      <c r="AB145" s="7" t="n">
        <v>0</v>
      </c>
      <c r="AC145" s="2" t="n">
        <v>42649</v>
      </c>
      <c r="AD145" s="1" t="n">
        <v>52</v>
      </c>
      <c r="AE145" s="1" t="n">
        <v>42.8</v>
      </c>
      <c r="AF145" s="1" t="s">
        <v>77</v>
      </c>
      <c r="AG145" s="1" t="s">
        <v>78</v>
      </c>
      <c r="AH145" s="1" t="s">
        <v>112</v>
      </c>
      <c r="AI145" s="1" t="s">
        <v>86</v>
      </c>
      <c r="AJ145" s="1" t="s">
        <v>113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1</v>
      </c>
      <c r="AV145" s="1" t="n">
        <v>0</v>
      </c>
      <c r="AW145" s="1" t="n">
        <v>1</v>
      </c>
      <c r="AX145" s="1" t="n">
        <v>1</v>
      </c>
      <c r="AY145" s="1" t="n">
        <v>0</v>
      </c>
      <c r="AZ145" s="1" t="n">
        <v>0</v>
      </c>
      <c r="BA145" s="1" t="n">
        <v>1</v>
      </c>
      <c r="BB145" s="1" t="n">
        <v>0</v>
      </c>
      <c r="BC145" s="1" t="n">
        <v>0</v>
      </c>
      <c r="BD145" s="1" t="n">
        <v>0</v>
      </c>
      <c r="BE145" s="1" t="n">
        <v>1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</row>
    <row r="146" customFormat="false" ht="16.15" hidden="false" customHeight="false" outlineLevel="0" collapsed="false">
      <c r="A146" s="0" t="str">
        <f aca="false">_xlfn.CONCAT(E146, " ", D146)</f>
        <v>Mr. Frank Westra </v>
      </c>
      <c r="B146" s="0" t="str">
        <f aca="false">LEFT(D146, SEARCH(" ",D146,1))</f>
        <v>Frank </v>
      </c>
      <c r="C146" s="5" t="str">
        <f aca="false">RIGHT(D146,LEN(D146)-SEARCH(" ",D146,1))</f>
        <v>Westra </v>
      </c>
      <c r="D146" s="1" t="s">
        <v>528</v>
      </c>
      <c r="E146" s="1" t="s">
        <v>66</v>
      </c>
      <c r="F146" s="1" t="s">
        <v>529</v>
      </c>
      <c r="G146" s="1" t="s">
        <v>530</v>
      </c>
      <c r="H146" s="1" t="s">
        <v>217</v>
      </c>
      <c r="I146" s="1" t="s">
        <v>145</v>
      </c>
      <c r="J146" s="1" t="n">
        <v>70806</v>
      </c>
      <c r="K146" s="1" t="n">
        <v>0</v>
      </c>
      <c r="M146" s="1" t="s">
        <v>531</v>
      </c>
      <c r="N146" s="1" t="s">
        <v>532</v>
      </c>
      <c r="O146" s="1" t="s">
        <v>96</v>
      </c>
      <c r="Q146" s="1" t="s">
        <v>533</v>
      </c>
      <c r="R146" s="1" t="s">
        <v>110</v>
      </c>
      <c r="S146" s="6" t="n">
        <v>739000000000000</v>
      </c>
      <c r="T146" s="6" t="n">
        <v>4784850000000000</v>
      </c>
      <c r="V146" s="1" t="n">
        <v>10259</v>
      </c>
      <c r="W146" s="1" t="n">
        <v>1784</v>
      </c>
      <c r="X146" s="7" t="n">
        <v>0</v>
      </c>
      <c r="Y146" s="7" t="n">
        <v>0.0332476851851852</v>
      </c>
      <c r="Z146" s="1" t="n">
        <v>9.22</v>
      </c>
      <c r="AA146" s="1" t="s">
        <v>194</v>
      </c>
      <c r="AB146" s="7" t="n">
        <v>0</v>
      </c>
      <c r="AC146" s="2" t="n">
        <v>42485</v>
      </c>
      <c r="AD146" s="1" t="n">
        <v>24</v>
      </c>
      <c r="AE146" s="1" t="n">
        <v>288.95</v>
      </c>
      <c r="AF146" s="1" t="s">
        <v>115</v>
      </c>
      <c r="AG146" s="1" t="s">
        <v>78</v>
      </c>
      <c r="AH146" s="1" t="s">
        <v>101</v>
      </c>
      <c r="AI146" s="1" t="s">
        <v>102</v>
      </c>
      <c r="AJ146" s="1" t="s">
        <v>81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1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1</v>
      </c>
      <c r="BA146" s="1" t="n">
        <v>0</v>
      </c>
      <c r="BB146" s="1" t="n">
        <v>0</v>
      </c>
      <c r="BC146" s="1" t="n">
        <v>1</v>
      </c>
      <c r="BD146" s="1" t="n">
        <v>0</v>
      </c>
      <c r="BE146" s="1" t="n">
        <v>0</v>
      </c>
      <c r="BF146" s="1" t="n">
        <v>1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1</v>
      </c>
      <c r="BM146" s="1" t="n">
        <v>0</v>
      </c>
    </row>
    <row r="147" customFormat="false" ht="16.15" hidden="false" customHeight="false" outlineLevel="0" collapsed="false">
      <c r="A147" s="0" t="str">
        <f aca="false">_xlfn.CONCAT(E147, " ", D147)</f>
        <v>Mr. Frank Westra </v>
      </c>
      <c r="B147" s="0" t="str">
        <f aca="false">LEFT(D147, SEARCH(" ",D147,1))</f>
        <v>Frank </v>
      </c>
      <c r="C147" s="5" t="str">
        <f aca="false">RIGHT(D147,LEN(D147)-SEARCH(" ",D147,1))</f>
        <v>Westra </v>
      </c>
      <c r="D147" s="1" t="s">
        <v>528</v>
      </c>
      <c r="E147" s="1" t="s">
        <v>66</v>
      </c>
      <c r="F147" s="1" t="s">
        <v>529</v>
      </c>
      <c r="G147" s="1" t="s">
        <v>530</v>
      </c>
      <c r="H147" s="1" t="s">
        <v>217</v>
      </c>
      <c r="I147" s="1" t="s">
        <v>145</v>
      </c>
      <c r="J147" s="1" t="n">
        <v>70806</v>
      </c>
      <c r="K147" s="1" t="n">
        <v>0</v>
      </c>
      <c r="M147" s="1" t="s">
        <v>531</v>
      </c>
      <c r="N147" s="1" t="s">
        <v>532</v>
      </c>
      <c r="O147" s="1" t="s">
        <v>96</v>
      </c>
      <c r="Q147" s="1" t="s">
        <v>533</v>
      </c>
      <c r="R147" s="1" t="s">
        <v>110</v>
      </c>
      <c r="S147" s="6" t="n">
        <v>739000000000000</v>
      </c>
      <c r="T147" s="6" t="n">
        <v>4454480000000000</v>
      </c>
      <c r="V147" s="1" t="n">
        <v>10259</v>
      </c>
      <c r="W147" s="1" t="n">
        <v>8175</v>
      </c>
      <c r="X147" s="7" t="n">
        <v>0</v>
      </c>
      <c r="Y147" s="7" t="n">
        <v>0.0271550925925926</v>
      </c>
      <c r="Z147" s="1" t="n">
        <v>6.87</v>
      </c>
      <c r="AA147" s="1" t="s">
        <v>534</v>
      </c>
      <c r="AB147" s="7" t="n">
        <v>0</v>
      </c>
      <c r="AC147" s="2" t="n">
        <v>42456</v>
      </c>
      <c r="AD147" s="1" t="n">
        <v>24</v>
      </c>
      <c r="AE147" s="1" t="n">
        <v>16.94</v>
      </c>
      <c r="AF147" s="1" t="s">
        <v>129</v>
      </c>
      <c r="AG147" s="1" t="s">
        <v>78</v>
      </c>
      <c r="AH147" s="1" t="s">
        <v>101</v>
      </c>
      <c r="AI147" s="1" t="s">
        <v>86</v>
      </c>
      <c r="AJ147" s="1" t="s">
        <v>81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1</v>
      </c>
      <c r="AV147" s="1" t="n">
        <v>0</v>
      </c>
      <c r="AW147" s="1" t="n">
        <v>1</v>
      </c>
      <c r="AX147" s="1" t="n">
        <v>1</v>
      </c>
      <c r="AY147" s="1" t="n">
        <v>0</v>
      </c>
      <c r="AZ147" s="1" t="n">
        <v>0</v>
      </c>
      <c r="BA147" s="1" t="n">
        <v>1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</row>
    <row r="148" customFormat="false" ht="16.15" hidden="false" customHeight="false" outlineLevel="0" collapsed="false">
      <c r="A148" s="0" t="str">
        <f aca="false">_xlfn.CONCAT(E148, " ", D148)</f>
        <v>Mr. Jack Owens </v>
      </c>
      <c r="B148" s="0" t="str">
        <f aca="false">LEFT(D148, SEARCH(" ",D148,1))</f>
        <v>Jack </v>
      </c>
      <c r="C148" s="5" t="str">
        <f aca="false">RIGHT(D148,LEN(D148)-SEARCH(" ",D148,1))</f>
        <v>Owens </v>
      </c>
      <c r="D148" s="1" t="s">
        <v>535</v>
      </c>
      <c r="E148" s="1" t="s">
        <v>66</v>
      </c>
      <c r="F148" s="1" t="s">
        <v>536</v>
      </c>
      <c r="G148" s="1" t="s">
        <v>537</v>
      </c>
      <c r="I148" s="1" t="s">
        <v>121</v>
      </c>
      <c r="J148" s="1" t="n">
        <v>20200</v>
      </c>
      <c r="K148" s="1" t="n">
        <v>0</v>
      </c>
      <c r="M148" s="1" t="s">
        <v>538</v>
      </c>
      <c r="N148" s="1" t="s">
        <v>539</v>
      </c>
      <c r="O148" s="1" t="s">
        <v>124</v>
      </c>
      <c r="Q148" s="1" t="s">
        <v>269</v>
      </c>
      <c r="R148" s="1" t="s">
        <v>110</v>
      </c>
      <c r="S148" s="6" t="n">
        <v>163000000000000</v>
      </c>
      <c r="T148" s="6" t="n">
        <v>6011770000000000</v>
      </c>
      <c r="V148" s="1" t="n">
        <v>10263</v>
      </c>
      <c r="W148" s="1" t="n">
        <v>6966</v>
      </c>
      <c r="X148" s="7" t="n">
        <v>0</v>
      </c>
      <c r="Y148" s="7" t="n">
        <v>0.0332824074074074</v>
      </c>
      <c r="Z148" s="1" t="n">
        <v>8.99</v>
      </c>
      <c r="AA148" s="1" t="s">
        <v>291</v>
      </c>
      <c r="AB148" s="7" t="n">
        <v>0</v>
      </c>
      <c r="AC148" s="2" t="n">
        <v>42489</v>
      </c>
      <c r="AD148" s="1" t="n">
        <v>69</v>
      </c>
      <c r="AE148" s="1" t="n">
        <v>192.48</v>
      </c>
      <c r="AF148" s="1" t="s">
        <v>77</v>
      </c>
      <c r="AG148" s="1" t="s">
        <v>85</v>
      </c>
      <c r="AH148" s="1" t="s">
        <v>79</v>
      </c>
      <c r="AI148" s="1" t="s">
        <v>102</v>
      </c>
      <c r="AJ148" s="1" t="s">
        <v>113</v>
      </c>
      <c r="AK148" s="1" t="n">
        <v>0</v>
      </c>
      <c r="AL148" s="1" t="n">
        <v>0</v>
      </c>
      <c r="AM148" s="1" t="n">
        <v>1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1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1</v>
      </c>
      <c r="BG148" s="1" t="n">
        <v>0</v>
      </c>
      <c r="BH148" s="1" t="n">
        <v>0</v>
      </c>
      <c r="BI148" s="1" t="n">
        <v>0</v>
      </c>
      <c r="BJ148" s="1" t="n">
        <v>1</v>
      </c>
      <c r="BK148" s="1" t="n">
        <v>0</v>
      </c>
      <c r="BL148" s="1" t="n">
        <v>1</v>
      </c>
      <c r="BM148" s="1" t="n">
        <v>1</v>
      </c>
    </row>
    <row r="149" customFormat="false" ht="16.15" hidden="false" customHeight="false" outlineLevel="0" collapsed="false">
      <c r="A149" s="0" t="str">
        <f aca="false">_xlfn.CONCAT(E149, " ", D149)</f>
        <v>Mrs. Therese Pickering </v>
      </c>
      <c r="B149" s="0" t="str">
        <f aca="false">LEFT(D149, SEARCH(" ",D149,1))</f>
        <v>Therese </v>
      </c>
      <c r="C149" s="5" t="str">
        <f aca="false">RIGHT(D149,LEN(D149)-SEARCH(" ",D149,1))</f>
        <v>Pickering </v>
      </c>
      <c r="D149" s="1" t="s">
        <v>540</v>
      </c>
      <c r="E149" s="1" t="s">
        <v>154</v>
      </c>
      <c r="F149" s="1" t="s">
        <v>541</v>
      </c>
      <c r="G149" s="1" t="s">
        <v>542</v>
      </c>
      <c r="H149" s="1" t="s">
        <v>543</v>
      </c>
      <c r="I149" s="1" t="s">
        <v>145</v>
      </c>
      <c r="J149" s="1" t="n">
        <v>58622</v>
      </c>
      <c r="K149" s="1" t="n">
        <v>0</v>
      </c>
      <c r="M149" s="1" t="s">
        <v>544</v>
      </c>
      <c r="N149" s="1" t="s">
        <v>545</v>
      </c>
      <c r="O149" s="1" t="s">
        <v>148</v>
      </c>
      <c r="Q149" s="1" t="s">
        <v>546</v>
      </c>
      <c r="R149" s="1" t="s">
        <v>110</v>
      </c>
      <c r="S149" s="6" t="n">
        <v>215000000000000</v>
      </c>
      <c r="T149" s="6" t="n">
        <v>344896000000000</v>
      </c>
      <c r="V149" s="1" t="n">
        <v>10271</v>
      </c>
      <c r="W149" s="1" t="n">
        <v>5712</v>
      </c>
      <c r="X149" s="7" t="n">
        <v>0</v>
      </c>
      <c r="Y149" s="7" t="n">
        <v>0.0407974537037037</v>
      </c>
      <c r="Z149" s="1" t="n">
        <v>50</v>
      </c>
      <c r="AA149" s="1" t="s">
        <v>266</v>
      </c>
      <c r="AB149" s="7" t="n">
        <v>0</v>
      </c>
      <c r="AC149" s="2" t="n">
        <v>42648</v>
      </c>
      <c r="AD149" s="1" t="n">
        <v>31</v>
      </c>
      <c r="AE149" s="1" t="n">
        <v>46.48</v>
      </c>
      <c r="AF149" s="1" t="s">
        <v>77</v>
      </c>
      <c r="AG149" s="1" t="s">
        <v>78</v>
      </c>
      <c r="AH149" s="1" t="s">
        <v>112</v>
      </c>
      <c r="AI149" s="1" t="s">
        <v>86</v>
      </c>
      <c r="AJ149" s="1" t="s">
        <v>81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1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</row>
    <row r="150" customFormat="false" ht="16.15" hidden="false" customHeight="false" outlineLevel="0" collapsed="false">
      <c r="A150" s="0" t="str">
        <f aca="false">_xlfn.CONCAT(E150, " ", D150)</f>
        <v>Mrs. Therese Pickering </v>
      </c>
      <c r="B150" s="0" t="str">
        <f aca="false">LEFT(D150, SEARCH(" ",D150,1))</f>
        <v>Therese </v>
      </c>
      <c r="C150" s="5" t="str">
        <f aca="false">RIGHT(D150,LEN(D150)-SEARCH(" ",D150,1))</f>
        <v>Pickering </v>
      </c>
      <c r="D150" s="1" t="s">
        <v>540</v>
      </c>
      <c r="E150" s="1" t="s">
        <v>154</v>
      </c>
      <c r="F150" s="1" t="s">
        <v>541</v>
      </c>
      <c r="G150" s="1" t="s">
        <v>542</v>
      </c>
      <c r="H150" s="1" t="s">
        <v>543</v>
      </c>
      <c r="I150" s="1" t="s">
        <v>145</v>
      </c>
      <c r="J150" s="1" t="n">
        <v>58622</v>
      </c>
      <c r="K150" s="1" t="n">
        <v>0</v>
      </c>
      <c r="M150" s="1" t="s">
        <v>544</v>
      </c>
      <c r="N150" s="1" t="s">
        <v>545</v>
      </c>
      <c r="O150" s="1" t="s">
        <v>148</v>
      </c>
      <c r="Q150" s="1" t="s">
        <v>546</v>
      </c>
      <c r="R150" s="1" t="s">
        <v>110</v>
      </c>
      <c r="S150" s="6" t="n">
        <v>215000000000000</v>
      </c>
      <c r="T150" s="6" t="n">
        <v>375702000000000</v>
      </c>
      <c r="V150" s="1" t="n">
        <v>10271</v>
      </c>
      <c r="W150" s="1" t="n">
        <v>9180</v>
      </c>
      <c r="X150" s="7" t="n">
        <v>0</v>
      </c>
      <c r="Y150" s="7" t="n">
        <v>0.00528240740740741</v>
      </c>
      <c r="Z150" s="1" t="n">
        <v>43.89</v>
      </c>
      <c r="AA150" s="1" t="s">
        <v>88</v>
      </c>
      <c r="AB150" s="7" t="n">
        <v>0</v>
      </c>
      <c r="AC150" s="2" t="n">
        <v>42373</v>
      </c>
      <c r="AD150" s="1" t="n">
        <v>31</v>
      </c>
      <c r="AE150" s="1" t="n">
        <v>14.6</v>
      </c>
      <c r="AF150" s="1" t="s">
        <v>115</v>
      </c>
      <c r="AG150" s="1" t="s">
        <v>78</v>
      </c>
      <c r="AH150" s="1" t="s">
        <v>112</v>
      </c>
      <c r="AI150" s="1" t="s">
        <v>86</v>
      </c>
      <c r="AJ150" s="1" t="s">
        <v>81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1</v>
      </c>
      <c r="AV150" s="1" t="n">
        <v>0</v>
      </c>
      <c r="AW150" s="1" t="n">
        <v>0</v>
      </c>
      <c r="AX150" s="1" t="n">
        <v>1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</row>
    <row r="151" customFormat="false" ht="16.15" hidden="false" customHeight="false" outlineLevel="0" collapsed="false">
      <c r="A151" s="0" t="str">
        <f aca="false">_xlfn.CONCAT(E151, " ", D151)</f>
        <v>Mr. Robert Ojeda </v>
      </c>
      <c r="B151" s="0" t="str">
        <f aca="false">LEFT(D151, SEARCH(" ",D151,1))</f>
        <v>Robert </v>
      </c>
      <c r="C151" s="5" t="str">
        <f aca="false">RIGHT(D151,LEN(D151)-SEARCH(" ",D151,1))</f>
        <v>Ojeda </v>
      </c>
      <c r="D151" s="1" t="s">
        <v>547</v>
      </c>
      <c r="E151" s="1" t="s">
        <v>66</v>
      </c>
      <c r="F151" s="1" t="s">
        <v>548</v>
      </c>
      <c r="G151" s="1" t="s">
        <v>549</v>
      </c>
      <c r="H151" s="1" t="s">
        <v>550</v>
      </c>
      <c r="I151" s="1" t="s">
        <v>145</v>
      </c>
      <c r="J151" s="1" t="n">
        <v>62220</v>
      </c>
      <c r="K151" s="1" t="n">
        <v>0</v>
      </c>
      <c r="M151" s="1" t="s">
        <v>551</v>
      </c>
      <c r="N151" s="1" t="s">
        <v>552</v>
      </c>
      <c r="O151" s="1" t="s">
        <v>237</v>
      </c>
      <c r="Q151" s="1" t="s">
        <v>421</v>
      </c>
      <c r="R151" s="1" t="s">
        <v>110</v>
      </c>
      <c r="S151" s="6" t="n">
        <v>229000000000000</v>
      </c>
      <c r="T151" s="6" t="n">
        <v>3528360000000000</v>
      </c>
      <c r="V151" s="1" t="n">
        <v>10275</v>
      </c>
      <c r="W151" s="1" t="n">
        <v>1998</v>
      </c>
      <c r="X151" s="7" t="n">
        <v>0</v>
      </c>
      <c r="Y151" s="7" t="n">
        <v>0.00965972222222222</v>
      </c>
      <c r="Z151" s="1" t="n">
        <v>18.24</v>
      </c>
      <c r="AA151" s="1" t="s">
        <v>268</v>
      </c>
      <c r="AB151" s="7" t="n">
        <v>0</v>
      </c>
      <c r="AC151" s="2" t="n">
        <v>42554</v>
      </c>
      <c r="AD151" s="1" t="n">
        <v>76</v>
      </c>
      <c r="AE151" s="1" t="n">
        <v>236.03</v>
      </c>
      <c r="AF151" s="1" t="s">
        <v>77</v>
      </c>
      <c r="AG151" s="1" t="s">
        <v>85</v>
      </c>
      <c r="AH151" s="1" t="s">
        <v>112</v>
      </c>
      <c r="AI151" s="1" t="s">
        <v>102</v>
      </c>
      <c r="AJ151" s="1" t="s">
        <v>113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1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1</v>
      </c>
      <c r="BA151" s="1" t="n">
        <v>0</v>
      </c>
      <c r="BB151" s="1" t="n">
        <v>1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1</v>
      </c>
    </row>
    <row r="152" customFormat="false" ht="16.15" hidden="false" customHeight="false" outlineLevel="0" collapsed="false">
      <c r="A152" s="0" t="str">
        <f aca="false">_xlfn.CONCAT(E152, " ", D152)</f>
        <v>Mr. Robert Ojeda </v>
      </c>
      <c r="B152" s="0" t="str">
        <f aca="false">LEFT(D152, SEARCH(" ",D152,1))</f>
        <v>Robert </v>
      </c>
      <c r="C152" s="5" t="str">
        <f aca="false">RIGHT(D152,LEN(D152)-SEARCH(" ",D152,1))</f>
        <v>Ojeda </v>
      </c>
      <c r="D152" s="1" t="s">
        <v>547</v>
      </c>
      <c r="E152" s="1" t="s">
        <v>66</v>
      </c>
      <c r="F152" s="1" t="s">
        <v>548</v>
      </c>
      <c r="G152" s="1" t="s">
        <v>549</v>
      </c>
      <c r="H152" s="1" t="s">
        <v>550</v>
      </c>
      <c r="I152" s="1" t="s">
        <v>145</v>
      </c>
      <c r="J152" s="1" t="n">
        <v>62220</v>
      </c>
      <c r="K152" s="1" t="n">
        <v>0</v>
      </c>
      <c r="M152" s="1" t="s">
        <v>551</v>
      </c>
      <c r="N152" s="1" t="s">
        <v>552</v>
      </c>
      <c r="O152" s="1" t="s">
        <v>237</v>
      </c>
      <c r="Q152" s="1" t="s">
        <v>421</v>
      </c>
      <c r="R152" s="1" t="s">
        <v>110</v>
      </c>
      <c r="S152" s="6" t="n">
        <v>229000000000000</v>
      </c>
      <c r="T152" s="6" t="n">
        <v>3528760000000000</v>
      </c>
      <c r="V152" s="1" t="n">
        <v>10275</v>
      </c>
      <c r="W152" s="1" t="n">
        <v>4110</v>
      </c>
      <c r="X152" s="7" t="n">
        <v>0</v>
      </c>
      <c r="Y152" s="7" t="n">
        <v>0.0236053240740741</v>
      </c>
      <c r="Z152" s="1" t="n">
        <v>13.25</v>
      </c>
      <c r="AA152" s="1" t="s">
        <v>138</v>
      </c>
      <c r="AB152" s="7" t="n">
        <v>0</v>
      </c>
      <c r="AC152" s="2" t="n">
        <v>42699</v>
      </c>
      <c r="AD152" s="1" t="n">
        <v>76</v>
      </c>
      <c r="AE152" s="1" t="n">
        <v>133.5</v>
      </c>
      <c r="AF152" s="1" t="s">
        <v>77</v>
      </c>
      <c r="AG152" s="1" t="s">
        <v>85</v>
      </c>
      <c r="AH152" s="1" t="s">
        <v>112</v>
      </c>
      <c r="AI152" s="1" t="s">
        <v>80</v>
      </c>
      <c r="AJ152" s="1" t="s">
        <v>113</v>
      </c>
      <c r="AK152" s="1" t="n">
        <v>0</v>
      </c>
      <c r="AL152" s="1" t="n">
        <v>0</v>
      </c>
      <c r="AM152" s="1" t="n">
        <v>0</v>
      </c>
      <c r="AN152" s="1" t="n">
        <v>1</v>
      </c>
      <c r="AO152" s="1" t="n">
        <v>1</v>
      </c>
      <c r="AP152" s="1" t="n">
        <v>0</v>
      </c>
      <c r="AQ152" s="1" t="n">
        <v>0</v>
      </c>
      <c r="AR152" s="1" t="n">
        <v>1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1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</row>
    <row r="153" customFormat="false" ht="16.15" hidden="false" customHeight="false" outlineLevel="0" collapsed="false">
      <c r="A153" s="0" t="str">
        <f aca="false">_xlfn.CONCAT(E153, " ", D153)</f>
        <v>Mr. Thomas Farris </v>
      </c>
      <c r="B153" s="0" t="str">
        <f aca="false">LEFT(D153, SEARCH(" ",D153,1))</f>
        <v>Thomas </v>
      </c>
      <c r="C153" s="5" t="str">
        <f aca="false">RIGHT(D153,LEN(D153)-SEARCH(" ",D153,1))</f>
        <v>Farris </v>
      </c>
      <c r="D153" s="1" t="s">
        <v>553</v>
      </c>
      <c r="E153" s="1" t="s">
        <v>66</v>
      </c>
      <c r="F153" s="1" t="s">
        <v>554</v>
      </c>
      <c r="G153" s="1" t="s">
        <v>555</v>
      </c>
      <c r="H153" s="1" t="s">
        <v>234</v>
      </c>
      <c r="I153" s="1" t="s">
        <v>145</v>
      </c>
      <c r="J153" s="1" t="n">
        <v>20705</v>
      </c>
      <c r="K153" s="1" t="n">
        <v>0</v>
      </c>
      <c r="M153" s="1" t="s">
        <v>556</v>
      </c>
      <c r="N153" s="1" t="s">
        <v>557</v>
      </c>
      <c r="O153" s="1" t="s">
        <v>200</v>
      </c>
      <c r="Q153" s="1" t="s">
        <v>558</v>
      </c>
      <c r="R153" s="1" t="s">
        <v>244</v>
      </c>
      <c r="S153" s="1" t="n">
        <v>751454315</v>
      </c>
      <c r="T153" s="6" t="n">
        <v>36185500000000</v>
      </c>
      <c r="V153" s="1" t="n">
        <v>10283</v>
      </c>
      <c r="W153" s="1" t="n">
        <v>1379</v>
      </c>
      <c r="X153" s="7" t="n">
        <v>0</v>
      </c>
      <c r="Y153" s="7" t="n">
        <v>0.0307476851851852</v>
      </c>
      <c r="Z153" s="1" t="n">
        <v>13.33</v>
      </c>
      <c r="AA153" s="1" t="s">
        <v>190</v>
      </c>
      <c r="AB153" s="7" t="n">
        <v>0</v>
      </c>
      <c r="AC153" s="2" t="n">
        <v>42724</v>
      </c>
      <c r="AD153" s="1" t="n">
        <v>68</v>
      </c>
      <c r="AE153" s="1" t="n">
        <v>197.54</v>
      </c>
      <c r="AF153" s="1" t="s">
        <v>77</v>
      </c>
      <c r="AG153" s="1" t="s">
        <v>85</v>
      </c>
      <c r="AH153" s="1" t="s">
        <v>79</v>
      </c>
      <c r="AI153" s="1" t="s">
        <v>102</v>
      </c>
      <c r="AJ153" s="1" t="s">
        <v>113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1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1</v>
      </c>
      <c r="BD153" s="1" t="n">
        <v>0</v>
      </c>
      <c r="BE153" s="1" t="n">
        <v>0</v>
      </c>
      <c r="BF153" s="1" t="n">
        <v>1</v>
      </c>
      <c r="BG153" s="1" t="n">
        <v>0</v>
      </c>
      <c r="BH153" s="1" t="n">
        <v>0</v>
      </c>
      <c r="BI153" s="1" t="n">
        <v>1</v>
      </c>
      <c r="BJ153" s="1" t="n">
        <v>0</v>
      </c>
      <c r="BK153" s="1" t="n">
        <v>0</v>
      </c>
      <c r="BL153" s="1" t="n">
        <v>0</v>
      </c>
      <c r="BM153" s="1" t="n">
        <v>1</v>
      </c>
    </row>
    <row r="154" customFormat="false" ht="16.15" hidden="false" customHeight="false" outlineLevel="0" collapsed="false">
      <c r="A154" s="0" t="str">
        <f aca="false">_xlfn.CONCAT(E154, " ", D154)</f>
        <v>Mr. Thomas Farris </v>
      </c>
      <c r="B154" s="0" t="str">
        <f aca="false">LEFT(D154, SEARCH(" ",D154,1))</f>
        <v>Thomas </v>
      </c>
      <c r="C154" s="5" t="str">
        <f aca="false">RIGHT(D154,LEN(D154)-SEARCH(" ",D154,1))</f>
        <v>Farris </v>
      </c>
      <c r="D154" s="1" t="s">
        <v>553</v>
      </c>
      <c r="E154" s="1" t="s">
        <v>66</v>
      </c>
      <c r="F154" s="1" t="s">
        <v>554</v>
      </c>
      <c r="G154" s="1" t="s">
        <v>555</v>
      </c>
      <c r="H154" s="1" t="s">
        <v>234</v>
      </c>
      <c r="I154" s="1" t="s">
        <v>145</v>
      </c>
      <c r="J154" s="1" t="n">
        <v>20705</v>
      </c>
      <c r="K154" s="1" t="n">
        <v>0</v>
      </c>
      <c r="M154" s="1" t="s">
        <v>556</v>
      </c>
      <c r="N154" s="1" t="s">
        <v>557</v>
      </c>
      <c r="O154" s="1" t="s">
        <v>200</v>
      </c>
      <c r="Q154" s="1" t="s">
        <v>558</v>
      </c>
      <c r="R154" s="1" t="s">
        <v>244</v>
      </c>
      <c r="S154" s="1" t="n">
        <v>751454315</v>
      </c>
      <c r="T154" s="6" t="n">
        <v>36352800000000</v>
      </c>
      <c r="V154" s="1" t="n">
        <v>10283</v>
      </c>
      <c r="W154" s="1" t="n">
        <v>5101</v>
      </c>
      <c r="X154" s="7" t="n">
        <v>0</v>
      </c>
      <c r="Y154" s="7" t="n">
        <v>0.00794328703703704</v>
      </c>
      <c r="Z154" s="1" t="n">
        <v>11.45</v>
      </c>
      <c r="AA154" s="1" t="s">
        <v>356</v>
      </c>
      <c r="AB154" s="7" t="n">
        <v>0</v>
      </c>
      <c r="AC154" s="2" t="n">
        <v>42623</v>
      </c>
      <c r="AD154" s="1" t="n">
        <v>68</v>
      </c>
      <c r="AE154" s="1" t="n">
        <v>270.27</v>
      </c>
      <c r="AF154" s="1" t="s">
        <v>77</v>
      </c>
      <c r="AG154" s="1" t="s">
        <v>85</v>
      </c>
      <c r="AH154" s="1" t="s">
        <v>79</v>
      </c>
      <c r="AI154" s="1" t="s">
        <v>102</v>
      </c>
      <c r="AJ154" s="1" t="s">
        <v>113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1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1</v>
      </c>
      <c r="BC154" s="1" t="n">
        <v>0</v>
      </c>
      <c r="BD154" s="1" t="n">
        <v>0</v>
      </c>
      <c r="BE154" s="1" t="n">
        <v>0</v>
      </c>
      <c r="BF154" s="1" t="n">
        <v>1</v>
      </c>
      <c r="BG154" s="1" t="n">
        <v>0</v>
      </c>
      <c r="BH154" s="1" t="n">
        <v>0</v>
      </c>
      <c r="BI154" s="1" t="n">
        <v>0</v>
      </c>
      <c r="BJ154" s="1" t="n">
        <v>1</v>
      </c>
      <c r="BK154" s="1" t="n">
        <v>0</v>
      </c>
      <c r="BL154" s="1" t="n">
        <v>0</v>
      </c>
      <c r="BM154" s="1" t="n">
        <v>0</v>
      </c>
    </row>
    <row r="155" customFormat="false" ht="16.15" hidden="false" customHeight="false" outlineLevel="0" collapsed="false">
      <c r="A155" s="0" t="str">
        <f aca="false">_xlfn.CONCAT(E155, " ", D155)</f>
        <v>Mr. Thomas Farris </v>
      </c>
      <c r="B155" s="0" t="str">
        <f aca="false">LEFT(D155, SEARCH(" ",D155,1))</f>
        <v>Thomas </v>
      </c>
      <c r="C155" s="5" t="str">
        <f aca="false">RIGHT(D155,LEN(D155)-SEARCH(" ",D155,1))</f>
        <v>Farris </v>
      </c>
      <c r="D155" s="1" t="s">
        <v>553</v>
      </c>
      <c r="E155" s="1" t="s">
        <v>66</v>
      </c>
      <c r="F155" s="1" t="s">
        <v>554</v>
      </c>
      <c r="G155" s="1" t="s">
        <v>555</v>
      </c>
      <c r="H155" s="1" t="s">
        <v>234</v>
      </c>
      <c r="I155" s="1" t="s">
        <v>145</v>
      </c>
      <c r="J155" s="1" t="n">
        <v>20705</v>
      </c>
      <c r="K155" s="1" t="n">
        <v>0</v>
      </c>
      <c r="M155" s="1" t="s">
        <v>556</v>
      </c>
      <c r="N155" s="1" t="s">
        <v>557</v>
      </c>
      <c r="O155" s="1" t="s">
        <v>200</v>
      </c>
      <c r="Q155" s="1" t="s">
        <v>558</v>
      </c>
      <c r="R155" s="1" t="s">
        <v>244</v>
      </c>
      <c r="S155" s="1" t="n">
        <v>751454315</v>
      </c>
      <c r="T155" s="6" t="n">
        <v>36603900000000</v>
      </c>
      <c r="V155" s="1" t="n">
        <v>10283</v>
      </c>
      <c r="W155" s="1" t="n">
        <v>6946</v>
      </c>
      <c r="X155" s="7" t="n">
        <v>0</v>
      </c>
      <c r="Y155" s="7" t="n">
        <v>0.00965972222222222</v>
      </c>
      <c r="Z155" s="1" t="n">
        <v>23.37</v>
      </c>
      <c r="AA155" s="1" t="s">
        <v>559</v>
      </c>
      <c r="AB155" s="7" t="n">
        <v>0</v>
      </c>
      <c r="AC155" s="2" t="n">
        <v>42554</v>
      </c>
      <c r="AD155" s="1" t="n">
        <v>68</v>
      </c>
      <c r="AE155" s="1" t="n">
        <v>233.39</v>
      </c>
      <c r="AF155" s="1" t="s">
        <v>77</v>
      </c>
      <c r="AG155" s="1" t="s">
        <v>85</v>
      </c>
      <c r="AH155" s="1" t="s">
        <v>79</v>
      </c>
      <c r="AI155" s="1" t="s">
        <v>102</v>
      </c>
      <c r="AJ155" s="1" t="s">
        <v>113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1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1</v>
      </c>
      <c r="BC155" s="1" t="n">
        <v>0</v>
      </c>
      <c r="BD155" s="1" t="n">
        <v>0</v>
      </c>
      <c r="BE155" s="1" t="n">
        <v>0</v>
      </c>
      <c r="BF155" s="1" t="n">
        <v>1</v>
      </c>
      <c r="BG155" s="1" t="n">
        <v>0</v>
      </c>
      <c r="BH155" s="1" t="n">
        <v>0</v>
      </c>
      <c r="BI155" s="1" t="n">
        <v>0</v>
      </c>
      <c r="BJ155" s="1" t="n">
        <v>1</v>
      </c>
      <c r="BK155" s="1" t="n">
        <v>0</v>
      </c>
      <c r="BL155" s="1" t="n">
        <v>0</v>
      </c>
      <c r="BM155" s="1" t="n">
        <v>1</v>
      </c>
    </row>
    <row r="156" customFormat="false" ht="16.15" hidden="false" customHeight="false" outlineLevel="0" collapsed="false">
      <c r="A156" s="0" t="str">
        <f aca="false">_xlfn.CONCAT(E156, " ", D156)</f>
        <v>Mr. Thomas Farris </v>
      </c>
      <c r="B156" s="0" t="str">
        <f aca="false">LEFT(D156, SEARCH(" ",D156,1))</f>
        <v>Thomas </v>
      </c>
      <c r="C156" s="5" t="str">
        <f aca="false">RIGHT(D156,LEN(D156)-SEARCH(" ",D156,1))</f>
        <v>Farris </v>
      </c>
      <c r="D156" s="1" t="s">
        <v>553</v>
      </c>
      <c r="E156" s="1" t="s">
        <v>66</v>
      </c>
      <c r="F156" s="1" t="s">
        <v>554</v>
      </c>
      <c r="G156" s="1" t="s">
        <v>555</v>
      </c>
      <c r="H156" s="1" t="s">
        <v>234</v>
      </c>
      <c r="I156" s="1" t="s">
        <v>145</v>
      </c>
      <c r="J156" s="1" t="n">
        <v>20705</v>
      </c>
      <c r="K156" s="1" t="n">
        <v>0</v>
      </c>
      <c r="M156" s="1" t="s">
        <v>556</v>
      </c>
      <c r="N156" s="1" t="s">
        <v>557</v>
      </c>
      <c r="O156" s="1" t="s">
        <v>200</v>
      </c>
      <c r="Q156" s="1" t="s">
        <v>558</v>
      </c>
      <c r="R156" s="1" t="s">
        <v>244</v>
      </c>
      <c r="S156" s="1" t="n">
        <v>751454315</v>
      </c>
      <c r="T156" s="6" t="n">
        <v>36966300000000</v>
      </c>
      <c r="V156" s="1" t="n">
        <v>10283</v>
      </c>
      <c r="W156" s="1" t="n">
        <v>8061</v>
      </c>
      <c r="X156" s="7" t="n">
        <v>0.0329282407407407</v>
      </c>
      <c r="Y156" s="7" t="n">
        <v>0.0329328703703704</v>
      </c>
      <c r="Z156" s="1" t="n">
        <v>10.45</v>
      </c>
      <c r="AA156" s="1" t="s">
        <v>345</v>
      </c>
      <c r="AB156" s="7" t="n">
        <v>0.0329282407407407</v>
      </c>
      <c r="AC156" s="2" t="n">
        <v>42498</v>
      </c>
      <c r="AD156" s="1" t="n">
        <v>68</v>
      </c>
      <c r="AE156" s="1" t="n">
        <v>99.98</v>
      </c>
      <c r="AF156" s="1" t="s">
        <v>77</v>
      </c>
      <c r="AG156" s="1" t="s">
        <v>85</v>
      </c>
      <c r="AH156" s="1" t="s">
        <v>79</v>
      </c>
      <c r="AI156" s="1" t="s">
        <v>80</v>
      </c>
      <c r="AJ156" s="1" t="s">
        <v>113</v>
      </c>
      <c r="AK156" s="1" t="n">
        <v>0</v>
      </c>
      <c r="AL156" s="1" t="n">
        <v>1</v>
      </c>
      <c r="AM156" s="1" t="n">
        <v>1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1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1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1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</row>
    <row r="157" customFormat="false" ht="16.15" hidden="false" customHeight="false" outlineLevel="0" collapsed="false">
      <c r="A157" s="0" t="str">
        <f aca="false">_xlfn.CONCAT(E157, " ", D157)</f>
        <v>Mr. Joseph Shafer </v>
      </c>
      <c r="B157" s="0" t="str">
        <f aca="false">LEFT(D157, SEARCH(" ",D157,1))</f>
        <v>Joseph </v>
      </c>
      <c r="C157" s="5" t="str">
        <f aca="false">RIGHT(D157,LEN(D157)-SEARCH(" ",D157,1))</f>
        <v>Shafer </v>
      </c>
      <c r="D157" s="1" t="s">
        <v>560</v>
      </c>
      <c r="E157" s="1" t="s">
        <v>66</v>
      </c>
      <c r="F157" s="1" t="s">
        <v>561</v>
      </c>
      <c r="G157" s="1" t="s">
        <v>555</v>
      </c>
      <c r="H157" s="1" t="s">
        <v>234</v>
      </c>
      <c r="I157" s="1" t="s">
        <v>145</v>
      </c>
      <c r="J157" s="1" t="n">
        <v>20705</v>
      </c>
      <c r="K157" s="1" t="n">
        <v>0</v>
      </c>
      <c r="M157" s="1" t="s">
        <v>562</v>
      </c>
      <c r="N157" s="1" t="s">
        <v>563</v>
      </c>
      <c r="O157" s="1" t="s">
        <v>237</v>
      </c>
      <c r="Q157" s="1" t="s">
        <v>558</v>
      </c>
      <c r="R157" s="1" t="s">
        <v>75</v>
      </c>
      <c r="S157" s="1" t="n">
        <v>577430003</v>
      </c>
      <c r="T157" s="6" t="n">
        <v>3528220000000000</v>
      </c>
      <c r="V157" s="1" t="n">
        <v>10287</v>
      </c>
      <c r="W157" s="1" t="n">
        <v>7392</v>
      </c>
      <c r="X157" s="7" t="n">
        <v>0</v>
      </c>
      <c r="Y157" s="7" t="n">
        <v>0.0192060185185185</v>
      </c>
      <c r="Z157" s="1" t="n">
        <v>11.45</v>
      </c>
      <c r="AA157" s="1" t="s">
        <v>546</v>
      </c>
      <c r="AB157" s="7" t="n">
        <v>0</v>
      </c>
      <c r="AC157" s="2" t="n">
        <v>42650</v>
      </c>
      <c r="AD157" s="1" t="n">
        <v>72</v>
      </c>
      <c r="AE157" s="1" t="n">
        <v>126.46</v>
      </c>
      <c r="AF157" s="1" t="s">
        <v>115</v>
      </c>
      <c r="AG157" s="1" t="s">
        <v>85</v>
      </c>
      <c r="AH157" s="1" t="s">
        <v>101</v>
      </c>
      <c r="AI157" s="1" t="s">
        <v>80</v>
      </c>
      <c r="AJ157" s="1" t="s">
        <v>113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1</v>
      </c>
      <c r="AR157" s="1" t="n">
        <v>1</v>
      </c>
      <c r="AS157" s="1" t="n">
        <v>0</v>
      </c>
      <c r="AT157" s="1" t="n">
        <v>0</v>
      </c>
      <c r="AU157" s="1" t="n">
        <v>0</v>
      </c>
      <c r="AV157" s="1" t="n">
        <v>1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1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</row>
    <row r="158" customFormat="false" ht="16.15" hidden="false" customHeight="false" outlineLevel="0" collapsed="false">
      <c r="A158" s="0" t="str">
        <f aca="false">_xlfn.CONCAT(E158, " ", D158)</f>
        <v>Mr. Hoyt Ramos </v>
      </c>
      <c r="B158" s="0" t="str">
        <f aca="false">LEFT(D158, SEARCH(" ",D158,1))</f>
        <v>Hoyt </v>
      </c>
      <c r="C158" s="5" t="str">
        <f aca="false">RIGHT(D158,LEN(D158)-SEARCH(" ",D158,1))</f>
        <v>Ramos </v>
      </c>
      <c r="D158" s="1" t="s">
        <v>564</v>
      </c>
      <c r="E158" s="1" t="s">
        <v>66</v>
      </c>
      <c r="F158" s="1" t="s">
        <v>565</v>
      </c>
      <c r="G158" s="1" t="s">
        <v>566</v>
      </c>
      <c r="H158" s="1" t="s">
        <v>567</v>
      </c>
      <c r="I158" s="1" t="s">
        <v>145</v>
      </c>
      <c r="J158" s="1" t="n">
        <v>97701</v>
      </c>
      <c r="K158" s="1" t="n">
        <v>0</v>
      </c>
      <c r="M158" s="1" t="s">
        <v>568</v>
      </c>
      <c r="N158" s="1" t="s">
        <v>569</v>
      </c>
      <c r="O158" s="1" t="s">
        <v>73</v>
      </c>
      <c r="Q158" s="1" t="s">
        <v>291</v>
      </c>
      <c r="R158" s="1" t="s">
        <v>70</v>
      </c>
      <c r="S158" s="1" t="s">
        <v>570</v>
      </c>
      <c r="T158" s="6" t="n">
        <v>5171300000000000</v>
      </c>
      <c r="V158" s="1" t="n">
        <v>10291</v>
      </c>
      <c r="W158" s="1" t="n">
        <v>878</v>
      </c>
      <c r="X158" s="7" t="n">
        <v>0</v>
      </c>
      <c r="Y158" s="7" t="n">
        <v>0.01384375</v>
      </c>
      <c r="Z158" s="1" t="n">
        <v>23.37</v>
      </c>
      <c r="AA158" s="1" t="s">
        <v>571</v>
      </c>
      <c r="AB158" s="7" t="n">
        <v>0</v>
      </c>
      <c r="AC158" s="2" t="n">
        <v>42431</v>
      </c>
      <c r="AD158" s="1" t="n">
        <v>79</v>
      </c>
      <c r="AE158" s="1" t="n">
        <v>210.26</v>
      </c>
      <c r="AF158" s="1" t="s">
        <v>77</v>
      </c>
      <c r="AG158" s="1" t="s">
        <v>85</v>
      </c>
      <c r="AH158" s="1" t="s">
        <v>79</v>
      </c>
      <c r="AI158" s="1" t="s">
        <v>102</v>
      </c>
      <c r="AJ158" s="1" t="s">
        <v>113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1</v>
      </c>
      <c r="AP158" s="1" t="n">
        <v>0</v>
      </c>
      <c r="AQ158" s="1" t="n">
        <v>1</v>
      </c>
      <c r="AR158" s="1" t="n">
        <v>0</v>
      </c>
      <c r="AS158" s="1" t="n">
        <v>0</v>
      </c>
      <c r="AT158" s="1" t="n">
        <v>1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1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1</v>
      </c>
      <c r="BH158" s="1" t="n">
        <v>0</v>
      </c>
      <c r="BI158" s="1" t="n">
        <v>0</v>
      </c>
      <c r="BJ158" s="1" t="n">
        <v>1</v>
      </c>
      <c r="BK158" s="1" t="n">
        <v>0</v>
      </c>
      <c r="BL158" s="1" t="n">
        <v>0</v>
      </c>
      <c r="BM158" s="1" t="n">
        <v>1</v>
      </c>
    </row>
    <row r="159" customFormat="false" ht="16.15" hidden="false" customHeight="false" outlineLevel="0" collapsed="false">
      <c r="A159" s="0" t="str">
        <f aca="false">_xlfn.CONCAT(E159, " ", D159)</f>
        <v>Mr. Hoyt Ramos </v>
      </c>
      <c r="B159" s="0" t="str">
        <f aca="false">LEFT(D159, SEARCH(" ",D159,1))</f>
        <v>Hoyt </v>
      </c>
      <c r="C159" s="5" t="str">
        <f aca="false">RIGHT(D159,LEN(D159)-SEARCH(" ",D159,1))</f>
        <v>Ramos </v>
      </c>
      <c r="D159" s="1" t="s">
        <v>564</v>
      </c>
      <c r="E159" s="1" t="s">
        <v>66</v>
      </c>
      <c r="F159" s="1" t="s">
        <v>565</v>
      </c>
      <c r="G159" s="1" t="s">
        <v>566</v>
      </c>
      <c r="H159" s="1" t="s">
        <v>567</v>
      </c>
      <c r="I159" s="1" t="s">
        <v>145</v>
      </c>
      <c r="J159" s="1" t="n">
        <v>97701</v>
      </c>
      <c r="K159" s="1" t="n">
        <v>0</v>
      </c>
      <c r="M159" s="1" t="s">
        <v>568</v>
      </c>
      <c r="N159" s="1" t="s">
        <v>569</v>
      </c>
      <c r="O159" s="1" t="s">
        <v>73</v>
      </c>
      <c r="Q159" s="1" t="s">
        <v>291</v>
      </c>
      <c r="R159" s="1" t="s">
        <v>70</v>
      </c>
      <c r="S159" s="1" t="s">
        <v>570</v>
      </c>
      <c r="T159" s="6" t="n">
        <v>5109090000000000</v>
      </c>
      <c r="V159" s="1" t="n">
        <v>10291</v>
      </c>
      <c r="W159" s="1" t="n">
        <v>6252</v>
      </c>
      <c r="X159" s="7" t="n">
        <v>0</v>
      </c>
      <c r="Y159" s="7" t="n">
        <v>0.0271550925925926</v>
      </c>
      <c r="Z159" s="1" t="n">
        <v>12.85</v>
      </c>
      <c r="AA159" s="1" t="s">
        <v>84</v>
      </c>
      <c r="AB159" s="7" t="n">
        <v>0</v>
      </c>
      <c r="AC159" s="2" t="n">
        <v>42640</v>
      </c>
      <c r="AD159" s="1" t="n">
        <v>79</v>
      </c>
      <c r="AE159" s="1" t="n">
        <v>260.52</v>
      </c>
      <c r="AF159" s="1" t="s">
        <v>77</v>
      </c>
      <c r="AG159" s="1" t="s">
        <v>85</v>
      </c>
      <c r="AH159" s="1" t="s">
        <v>79</v>
      </c>
      <c r="AI159" s="1" t="s">
        <v>102</v>
      </c>
      <c r="AJ159" s="1" t="s">
        <v>113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1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1</v>
      </c>
      <c r="BA159" s="1" t="n">
        <v>0</v>
      </c>
      <c r="BB159" s="1" t="n">
        <v>1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1</v>
      </c>
      <c r="BK159" s="1" t="n">
        <v>0</v>
      </c>
      <c r="BL159" s="1" t="n">
        <v>0</v>
      </c>
      <c r="BM159" s="1" t="n">
        <v>0</v>
      </c>
    </row>
    <row r="160" customFormat="false" ht="16.15" hidden="false" customHeight="false" outlineLevel="0" collapsed="false">
      <c r="A160" s="0" t="str">
        <f aca="false">_xlfn.CONCAT(E160, " ", D160)</f>
        <v>Mrs. Jodi Stanley </v>
      </c>
      <c r="B160" s="0" t="str">
        <f aca="false">LEFT(D160, SEARCH(" ",D160,1))</f>
        <v>Jodi </v>
      </c>
      <c r="C160" s="5" t="str">
        <f aca="false">RIGHT(D160,LEN(D160)-SEARCH(" ",D160,1))</f>
        <v>Stanley </v>
      </c>
      <c r="D160" s="1" t="s">
        <v>572</v>
      </c>
      <c r="E160" s="1" t="s">
        <v>154</v>
      </c>
      <c r="F160" s="1" t="s">
        <v>573</v>
      </c>
      <c r="G160" s="1" t="s">
        <v>574</v>
      </c>
      <c r="H160" s="1" t="s">
        <v>575</v>
      </c>
      <c r="I160" s="1" t="s">
        <v>145</v>
      </c>
      <c r="J160" s="1" t="n">
        <v>19020</v>
      </c>
      <c r="K160" s="1" t="n">
        <v>0</v>
      </c>
      <c r="M160" s="1" t="s">
        <v>576</v>
      </c>
      <c r="N160" s="1" t="s">
        <v>577</v>
      </c>
      <c r="O160" s="1" t="s">
        <v>237</v>
      </c>
      <c r="Q160" s="1" t="s">
        <v>178</v>
      </c>
      <c r="R160" s="1" t="s">
        <v>244</v>
      </c>
      <c r="S160" s="1" t="n">
        <v>904601168</v>
      </c>
      <c r="T160" s="6" t="n">
        <v>3528100000000000</v>
      </c>
      <c r="V160" s="1" t="n">
        <v>10295</v>
      </c>
      <c r="W160" s="1" t="n">
        <v>383</v>
      </c>
      <c r="X160" s="7" t="n">
        <v>0</v>
      </c>
      <c r="Y160" s="7" t="n">
        <v>0.0157013888888889</v>
      </c>
      <c r="Z160" s="1" t="n">
        <v>11.15</v>
      </c>
      <c r="AA160" s="1" t="s">
        <v>210</v>
      </c>
      <c r="AB160" s="7" t="n">
        <v>0</v>
      </c>
      <c r="AC160" s="2" t="n">
        <v>42479</v>
      </c>
      <c r="AD160" s="1" t="n">
        <v>48</v>
      </c>
      <c r="AE160" s="1" t="n">
        <v>13.27</v>
      </c>
      <c r="AF160" s="1" t="s">
        <v>77</v>
      </c>
      <c r="AG160" s="1" t="s">
        <v>78</v>
      </c>
      <c r="AH160" s="1" t="s">
        <v>112</v>
      </c>
      <c r="AI160" s="1" t="s">
        <v>86</v>
      </c>
      <c r="AJ160" s="1" t="s">
        <v>152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1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</row>
    <row r="161" customFormat="false" ht="16.15" hidden="false" customHeight="false" outlineLevel="0" collapsed="false">
      <c r="A161" s="0" t="str">
        <f aca="false">_xlfn.CONCAT(E161, " ", D161)</f>
        <v>Mrs. Jodi Stanley </v>
      </c>
      <c r="B161" s="0" t="str">
        <f aca="false">LEFT(D161, SEARCH(" ",D161,1))</f>
        <v>Jodi </v>
      </c>
      <c r="C161" s="5" t="str">
        <f aca="false">RIGHT(D161,LEN(D161)-SEARCH(" ",D161,1))</f>
        <v>Stanley </v>
      </c>
      <c r="D161" s="1" t="s">
        <v>572</v>
      </c>
      <c r="E161" s="1" t="s">
        <v>154</v>
      </c>
      <c r="F161" s="1" t="s">
        <v>573</v>
      </c>
      <c r="G161" s="1" t="s">
        <v>574</v>
      </c>
      <c r="H161" s="1" t="s">
        <v>575</v>
      </c>
      <c r="I161" s="1" t="s">
        <v>145</v>
      </c>
      <c r="J161" s="1" t="n">
        <v>19020</v>
      </c>
      <c r="K161" s="1" t="n">
        <v>0</v>
      </c>
      <c r="M161" s="1" t="s">
        <v>576</v>
      </c>
      <c r="N161" s="1" t="s">
        <v>577</v>
      </c>
      <c r="O161" s="1" t="s">
        <v>237</v>
      </c>
      <c r="Q161" s="1" t="s">
        <v>178</v>
      </c>
      <c r="R161" s="1" t="s">
        <v>244</v>
      </c>
      <c r="S161" s="1" t="n">
        <v>904601168</v>
      </c>
      <c r="T161" s="6" t="n">
        <v>3528170000000000</v>
      </c>
      <c r="V161" s="1" t="n">
        <v>10295</v>
      </c>
      <c r="W161" s="1" t="n">
        <v>1426</v>
      </c>
      <c r="X161" s="7" t="n">
        <v>0.0329282407407407</v>
      </c>
      <c r="Y161" s="7" t="n">
        <v>0.0329328703703704</v>
      </c>
      <c r="Z161" s="1" t="n">
        <v>7.85</v>
      </c>
      <c r="AA161" s="1" t="s">
        <v>443</v>
      </c>
      <c r="AB161" s="7" t="n">
        <v>0.0329282407407407</v>
      </c>
      <c r="AC161" s="2" t="n">
        <v>42498</v>
      </c>
      <c r="AD161" s="1" t="n">
        <v>48</v>
      </c>
      <c r="AE161" s="1" t="n">
        <v>24.06</v>
      </c>
      <c r="AF161" s="1" t="s">
        <v>77</v>
      </c>
      <c r="AG161" s="1" t="s">
        <v>78</v>
      </c>
      <c r="AH161" s="1" t="s">
        <v>112</v>
      </c>
      <c r="AI161" s="1" t="s">
        <v>86</v>
      </c>
      <c r="AJ161" s="1" t="s">
        <v>152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1</v>
      </c>
      <c r="AV161" s="1" t="n">
        <v>0</v>
      </c>
      <c r="AW161" s="1" t="n">
        <v>1</v>
      </c>
      <c r="AX161" s="1" t="n">
        <v>0</v>
      </c>
      <c r="AY161" s="1" t="n">
        <v>0</v>
      </c>
      <c r="AZ161" s="1" t="n">
        <v>0</v>
      </c>
      <c r="BA161" s="1" t="n">
        <v>1</v>
      </c>
      <c r="BB161" s="1" t="n">
        <v>0</v>
      </c>
      <c r="BC161" s="1" t="n">
        <v>0</v>
      </c>
      <c r="BD161" s="1" t="n">
        <v>0</v>
      </c>
      <c r="BE161" s="1" t="n">
        <v>1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</row>
    <row r="162" customFormat="false" ht="16.15" hidden="false" customHeight="false" outlineLevel="0" collapsed="false">
      <c r="A162" s="0" t="str">
        <f aca="false">_xlfn.CONCAT(E162, " ", D162)</f>
        <v>Mrs. Jodi Stanley </v>
      </c>
      <c r="B162" s="0" t="str">
        <f aca="false">LEFT(D162, SEARCH(" ",D162,1))</f>
        <v>Jodi </v>
      </c>
      <c r="C162" s="5" t="str">
        <f aca="false">RIGHT(D162,LEN(D162)-SEARCH(" ",D162,1))</f>
        <v>Stanley </v>
      </c>
      <c r="D162" s="1" t="s">
        <v>572</v>
      </c>
      <c r="E162" s="1" t="s">
        <v>154</v>
      </c>
      <c r="F162" s="1" t="s">
        <v>573</v>
      </c>
      <c r="G162" s="1" t="s">
        <v>574</v>
      </c>
      <c r="H162" s="1" t="s">
        <v>575</v>
      </c>
      <c r="I162" s="1" t="s">
        <v>145</v>
      </c>
      <c r="J162" s="1" t="n">
        <v>19020</v>
      </c>
      <c r="K162" s="1" t="n">
        <v>0</v>
      </c>
      <c r="M162" s="1" t="s">
        <v>576</v>
      </c>
      <c r="N162" s="1" t="s">
        <v>577</v>
      </c>
      <c r="O162" s="1" t="s">
        <v>237</v>
      </c>
      <c r="Q162" s="1" t="s">
        <v>178</v>
      </c>
      <c r="R162" s="1" t="s">
        <v>244</v>
      </c>
      <c r="S162" s="1" t="n">
        <v>904601168</v>
      </c>
      <c r="T162" s="6" t="n">
        <v>3528220000000000</v>
      </c>
      <c r="V162" s="1" t="n">
        <v>10295</v>
      </c>
      <c r="W162" s="1" t="n">
        <v>9065</v>
      </c>
      <c r="X162" s="7" t="n">
        <v>0</v>
      </c>
      <c r="Y162" s="7" t="n">
        <v>0.0329236111111111</v>
      </c>
      <c r="Z162" s="1" t="n">
        <v>21.97</v>
      </c>
      <c r="AA162" s="1" t="s">
        <v>128</v>
      </c>
      <c r="AB162" s="7" t="n">
        <v>0</v>
      </c>
      <c r="AC162" s="2" t="n">
        <v>42602</v>
      </c>
      <c r="AD162" s="1" t="n">
        <v>48</v>
      </c>
      <c r="AE162" s="1" t="n">
        <v>15.96</v>
      </c>
      <c r="AF162" s="1" t="s">
        <v>129</v>
      </c>
      <c r="AG162" s="1" t="s">
        <v>78</v>
      </c>
      <c r="AH162" s="1" t="s">
        <v>112</v>
      </c>
      <c r="AI162" s="1" t="s">
        <v>86</v>
      </c>
      <c r="AJ162" s="1" t="s">
        <v>152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1</v>
      </c>
      <c r="AV162" s="1" t="n">
        <v>0</v>
      </c>
      <c r="AW162" s="1" t="n">
        <v>1</v>
      </c>
      <c r="AX162" s="1" t="n">
        <v>0</v>
      </c>
      <c r="AY162" s="1" t="n">
        <v>0</v>
      </c>
      <c r="AZ162" s="1" t="n">
        <v>0</v>
      </c>
      <c r="BA162" s="1" t="n">
        <v>1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</row>
    <row r="163" customFormat="false" ht="16.15" hidden="false" customHeight="false" outlineLevel="0" collapsed="false">
      <c r="A163" s="0" t="str">
        <f aca="false">_xlfn.CONCAT(E163, " ", D163)</f>
        <v>Mrs. Betty Grimes </v>
      </c>
      <c r="B163" s="0" t="str">
        <f aca="false">LEFT(D163, SEARCH(" ",D163,1))</f>
        <v>Betty </v>
      </c>
      <c r="C163" s="5" t="str">
        <f aca="false">RIGHT(D163,LEN(D163)-SEARCH(" ",D163,1))</f>
        <v>Grimes </v>
      </c>
      <c r="D163" s="1" t="s">
        <v>578</v>
      </c>
      <c r="E163" s="1" t="s">
        <v>154</v>
      </c>
      <c r="F163" s="1" t="s">
        <v>579</v>
      </c>
      <c r="G163" s="1" t="s">
        <v>580</v>
      </c>
      <c r="I163" s="1" t="s">
        <v>93</v>
      </c>
      <c r="J163" s="1" t="n">
        <v>83471</v>
      </c>
      <c r="K163" s="1" t="n">
        <v>0</v>
      </c>
      <c r="M163" s="1" t="s">
        <v>581</v>
      </c>
      <c r="N163" s="1" t="s">
        <v>582</v>
      </c>
      <c r="O163" s="1" t="s">
        <v>200</v>
      </c>
      <c r="Q163" s="1" t="s">
        <v>276</v>
      </c>
      <c r="R163" s="1" t="s">
        <v>244</v>
      </c>
      <c r="S163" s="1" t="n">
        <v>777215385</v>
      </c>
      <c r="T163" s="6" t="n">
        <v>36322900000000</v>
      </c>
      <c r="V163" s="1" t="n">
        <v>10299</v>
      </c>
      <c r="W163" s="1" t="n">
        <v>1053</v>
      </c>
      <c r="X163" s="7" t="n">
        <v>0.0329282407407407</v>
      </c>
      <c r="Y163" s="7" t="n">
        <v>0.0329328703703704</v>
      </c>
      <c r="Z163" s="1" t="n">
        <v>27.97</v>
      </c>
      <c r="AA163" s="1" t="s">
        <v>348</v>
      </c>
      <c r="AB163" s="7" t="n">
        <v>0.0329282407407407</v>
      </c>
      <c r="AC163" s="2" t="n">
        <v>42498</v>
      </c>
      <c r="AD163" s="1" t="n">
        <v>41</v>
      </c>
      <c r="AE163" s="1" t="n">
        <v>44.19</v>
      </c>
      <c r="AF163" s="1" t="s">
        <v>77</v>
      </c>
      <c r="AG163" s="1" t="s">
        <v>78</v>
      </c>
      <c r="AH163" s="1" t="s">
        <v>112</v>
      </c>
      <c r="AI163" s="1" t="s">
        <v>86</v>
      </c>
      <c r="AJ163" s="1" t="s">
        <v>81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1</v>
      </c>
      <c r="AV163" s="1" t="n">
        <v>0</v>
      </c>
      <c r="AW163" s="1" t="n">
        <v>0</v>
      </c>
      <c r="AX163" s="1" t="n">
        <v>1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</row>
    <row r="164" customFormat="false" ht="16.15" hidden="false" customHeight="false" outlineLevel="0" collapsed="false">
      <c r="A164" s="0" t="str">
        <f aca="false">_xlfn.CONCAT(E164, " ", D164)</f>
        <v>Mrs. Betty Grimes </v>
      </c>
      <c r="B164" s="0" t="str">
        <f aca="false">LEFT(D164, SEARCH(" ",D164,1))</f>
        <v>Betty </v>
      </c>
      <c r="C164" s="5" t="str">
        <f aca="false">RIGHT(D164,LEN(D164)-SEARCH(" ",D164,1))</f>
        <v>Grimes </v>
      </c>
      <c r="D164" s="1" t="s">
        <v>578</v>
      </c>
      <c r="E164" s="1" t="s">
        <v>154</v>
      </c>
      <c r="F164" s="1" t="s">
        <v>579</v>
      </c>
      <c r="G164" s="1" t="s">
        <v>580</v>
      </c>
      <c r="I164" s="1" t="s">
        <v>93</v>
      </c>
      <c r="J164" s="1" t="n">
        <v>83471</v>
      </c>
      <c r="K164" s="1" t="n">
        <v>0</v>
      </c>
      <c r="M164" s="1" t="s">
        <v>581</v>
      </c>
      <c r="N164" s="1" t="s">
        <v>582</v>
      </c>
      <c r="O164" s="1" t="s">
        <v>200</v>
      </c>
      <c r="Q164" s="1" t="s">
        <v>276</v>
      </c>
      <c r="R164" s="1" t="s">
        <v>244</v>
      </c>
      <c r="S164" s="1" t="n">
        <v>777215385</v>
      </c>
      <c r="T164" s="6" t="n">
        <v>36080700000000</v>
      </c>
      <c r="V164" s="1" t="n">
        <v>10299</v>
      </c>
      <c r="W164" s="1" t="n">
        <v>7316</v>
      </c>
      <c r="X164" s="7" t="n">
        <v>0</v>
      </c>
      <c r="Y164" s="7" t="n">
        <v>0.0193935185185185</v>
      </c>
      <c r="Z164" s="1" t="n">
        <v>14.28</v>
      </c>
      <c r="AA164" s="1" t="s">
        <v>276</v>
      </c>
      <c r="AB164" s="7" t="n">
        <v>0</v>
      </c>
      <c r="AC164" s="2" t="n">
        <v>42649</v>
      </c>
      <c r="AD164" s="1" t="n">
        <v>41</v>
      </c>
      <c r="AE164" s="1" t="n">
        <v>48.44</v>
      </c>
      <c r="AF164" s="1" t="s">
        <v>129</v>
      </c>
      <c r="AG164" s="1" t="s">
        <v>78</v>
      </c>
      <c r="AH164" s="1" t="s">
        <v>112</v>
      </c>
      <c r="AI164" s="1" t="s">
        <v>86</v>
      </c>
      <c r="AJ164" s="1" t="s">
        <v>81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1</v>
      </c>
      <c r="AV164" s="1" t="n">
        <v>0</v>
      </c>
      <c r="AW164" s="1" t="n">
        <v>1</v>
      </c>
      <c r="AX164" s="1" t="n">
        <v>0</v>
      </c>
      <c r="AY164" s="1" t="n">
        <v>0</v>
      </c>
      <c r="AZ164" s="1" t="n">
        <v>0</v>
      </c>
      <c r="BA164" s="1" t="n">
        <v>1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</row>
    <row r="165" customFormat="false" ht="16.15" hidden="false" customHeight="false" outlineLevel="0" collapsed="false">
      <c r="A165" s="0" t="str">
        <f aca="false">_xlfn.CONCAT(E165, " ", D165)</f>
        <v>Mrs. Betty Grimes </v>
      </c>
      <c r="B165" s="0" t="str">
        <f aca="false">LEFT(D165, SEARCH(" ",D165,1))</f>
        <v>Betty </v>
      </c>
      <c r="C165" s="5" t="str">
        <f aca="false">RIGHT(D165,LEN(D165)-SEARCH(" ",D165,1))</f>
        <v>Grimes </v>
      </c>
      <c r="D165" s="1" t="s">
        <v>578</v>
      </c>
      <c r="E165" s="1" t="s">
        <v>154</v>
      </c>
      <c r="F165" s="1" t="s">
        <v>579</v>
      </c>
      <c r="G165" s="1" t="s">
        <v>580</v>
      </c>
      <c r="I165" s="1" t="s">
        <v>93</v>
      </c>
      <c r="J165" s="1" t="n">
        <v>83471</v>
      </c>
      <c r="K165" s="1" t="n">
        <v>0</v>
      </c>
      <c r="M165" s="1" t="s">
        <v>581</v>
      </c>
      <c r="N165" s="1" t="s">
        <v>582</v>
      </c>
      <c r="O165" s="1" t="s">
        <v>200</v>
      </c>
      <c r="Q165" s="1" t="s">
        <v>276</v>
      </c>
      <c r="R165" s="1" t="s">
        <v>244</v>
      </c>
      <c r="S165" s="1" t="n">
        <v>777215385</v>
      </c>
      <c r="T165" s="6" t="n">
        <v>36006500000000</v>
      </c>
      <c r="V165" s="1" t="n">
        <v>10299</v>
      </c>
      <c r="W165" s="1" t="n">
        <v>7953</v>
      </c>
      <c r="X165" s="7" t="n">
        <v>0</v>
      </c>
      <c r="Y165" s="7" t="n">
        <v>0.0194027777777778</v>
      </c>
      <c r="Z165" s="1" t="n">
        <v>8.23</v>
      </c>
      <c r="AA165" s="1" t="s">
        <v>257</v>
      </c>
      <c r="AB165" s="7" t="n">
        <v>0</v>
      </c>
      <c r="AC165" s="2" t="n">
        <v>42720</v>
      </c>
      <c r="AD165" s="1" t="n">
        <v>41</v>
      </c>
      <c r="AE165" s="1" t="n">
        <v>50</v>
      </c>
      <c r="AF165" s="1" t="s">
        <v>77</v>
      </c>
      <c r="AG165" s="1" t="s">
        <v>78</v>
      </c>
      <c r="AH165" s="1" t="s">
        <v>112</v>
      </c>
      <c r="AI165" s="1" t="s">
        <v>86</v>
      </c>
      <c r="AJ165" s="1" t="s">
        <v>81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1</v>
      </c>
      <c r="AV165" s="1" t="n">
        <v>0</v>
      </c>
      <c r="AW165" s="1" t="n">
        <v>1</v>
      </c>
      <c r="AX165" s="1" t="n">
        <v>0</v>
      </c>
      <c r="AY165" s="1" t="n">
        <v>0</v>
      </c>
      <c r="AZ165" s="1" t="n">
        <v>0</v>
      </c>
      <c r="BA165" s="1" t="n">
        <v>1</v>
      </c>
      <c r="BB165" s="1" t="n">
        <v>0</v>
      </c>
      <c r="BC165" s="1" t="n">
        <v>0</v>
      </c>
      <c r="BD165" s="1" t="n">
        <v>0</v>
      </c>
      <c r="BE165" s="1" t="n">
        <v>1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</row>
    <row r="166" customFormat="false" ht="16.15" hidden="false" customHeight="false" outlineLevel="0" collapsed="false">
      <c r="A166" s="0" t="str">
        <f aca="false">_xlfn.CONCAT(E166, " ", D166)</f>
        <v>Mrs. Betty Grimes </v>
      </c>
      <c r="B166" s="0" t="str">
        <f aca="false">LEFT(D166, SEARCH(" ",D166,1))</f>
        <v>Betty </v>
      </c>
      <c r="C166" s="5" t="str">
        <f aca="false">RIGHT(D166,LEN(D166)-SEARCH(" ",D166,1))</f>
        <v>Grimes </v>
      </c>
      <c r="D166" s="1" t="s">
        <v>578</v>
      </c>
      <c r="E166" s="1" t="s">
        <v>154</v>
      </c>
      <c r="F166" s="1" t="s">
        <v>579</v>
      </c>
      <c r="G166" s="1" t="s">
        <v>580</v>
      </c>
      <c r="I166" s="1" t="s">
        <v>93</v>
      </c>
      <c r="J166" s="1" t="n">
        <v>83471</v>
      </c>
      <c r="K166" s="1" t="n">
        <v>0</v>
      </c>
      <c r="M166" s="1" t="s">
        <v>581</v>
      </c>
      <c r="N166" s="1" t="s">
        <v>582</v>
      </c>
      <c r="O166" s="1" t="s">
        <v>200</v>
      </c>
      <c r="Q166" s="1" t="s">
        <v>276</v>
      </c>
      <c r="R166" s="1" t="s">
        <v>244</v>
      </c>
      <c r="S166" s="1" t="n">
        <v>777215385</v>
      </c>
      <c r="T166" s="6" t="n">
        <v>36726800000000</v>
      </c>
      <c r="V166" s="1" t="n">
        <v>10299</v>
      </c>
      <c r="W166" s="1" t="n">
        <v>8809</v>
      </c>
      <c r="X166" s="7" t="n">
        <v>0</v>
      </c>
      <c r="Y166" s="7" t="n">
        <v>0.0332476851851852</v>
      </c>
      <c r="Z166" s="1" t="n">
        <v>21.97</v>
      </c>
      <c r="AA166" s="1" t="s">
        <v>203</v>
      </c>
      <c r="AB166" s="7" t="n">
        <v>0</v>
      </c>
      <c r="AC166" s="2" t="n">
        <v>42485</v>
      </c>
      <c r="AD166" s="1" t="n">
        <v>41</v>
      </c>
      <c r="AE166" s="1" t="n">
        <v>47.57</v>
      </c>
      <c r="AF166" s="1" t="s">
        <v>77</v>
      </c>
      <c r="AG166" s="1" t="s">
        <v>78</v>
      </c>
      <c r="AH166" s="1" t="s">
        <v>112</v>
      </c>
      <c r="AI166" s="1" t="s">
        <v>86</v>
      </c>
      <c r="AJ166" s="1" t="s">
        <v>81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1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</row>
    <row r="167" customFormat="false" ht="16.15" hidden="false" customHeight="false" outlineLevel="0" collapsed="false">
      <c r="A167" s="0" t="str">
        <f aca="false">_xlfn.CONCAT(E167, " ", D167)</f>
        <v>Mr. Tony Brooks </v>
      </c>
      <c r="B167" s="0" t="str">
        <f aca="false">LEFT(D167, SEARCH(" ",D167,1))</f>
        <v>Tony </v>
      </c>
      <c r="C167" s="5" t="str">
        <f aca="false">RIGHT(D167,LEN(D167)-SEARCH(" ",D167,1))</f>
        <v>Brooks </v>
      </c>
      <c r="D167" s="1" t="s">
        <v>583</v>
      </c>
      <c r="E167" s="1" t="s">
        <v>66</v>
      </c>
      <c r="F167" s="1" t="s">
        <v>584</v>
      </c>
      <c r="G167" s="1" t="s">
        <v>585</v>
      </c>
      <c r="H167" s="1" t="s">
        <v>586</v>
      </c>
      <c r="I167" s="1" t="s">
        <v>70</v>
      </c>
      <c r="J167" s="1" t="n">
        <v>43042</v>
      </c>
      <c r="K167" s="1" t="n">
        <v>0</v>
      </c>
      <c r="M167" s="1" t="s">
        <v>587</v>
      </c>
      <c r="N167" s="1" t="s">
        <v>588</v>
      </c>
      <c r="O167" s="1" t="s">
        <v>148</v>
      </c>
      <c r="Q167" s="1" t="s">
        <v>82</v>
      </c>
      <c r="R167" s="1" t="s">
        <v>244</v>
      </c>
      <c r="S167" s="1" t="n">
        <v>935314484</v>
      </c>
      <c r="T167" s="6" t="n">
        <v>373017000000000</v>
      </c>
      <c r="V167" s="1" t="n">
        <v>10303</v>
      </c>
      <c r="W167" s="1" t="n">
        <v>4184</v>
      </c>
      <c r="X167" s="7" t="n">
        <v>0</v>
      </c>
      <c r="Y167" s="7" t="n">
        <v>0.0018125</v>
      </c>
      <c r="Z167" s="1" t="n">
        <v>22.77</v>
      </c>
      <c r="AA167" s="1" t="s">
        <v>307</v>
      </c>
      <c r="AB167" s="7" t="n">
        <v>0</v>
      </c>
      <c r="AC167" s="2" t="n">
        <v>42519</v>
      </c>
      <c r="AD167" s="1" t="n">
        <v>22</v>
      </c>
      <c r="AE167" s="1" t="n">
        <v>190.12</v>
      </c>
      <c r="AF167" s="1" t="s">
        <v>77</v>
      </c>
      <c r="AG167" s="1" t="s">
        <v>78</v>
      </c>
      <c r="AH167" s="1" t="s">
        <v>112</v>
      </c>
      <c r="AI167" s="1" t="s">
        <v>102</v>
      </c>
      <c r="AJ167" s="1" t="s">
        <v>103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1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1</v>
      </c>
      <c r="AZ167" s="1" t="n">
        <v>0</v>
      </c>
      <c r="BA167" s="1" t="n">
        <v>0</v>
      </c>
      <c r="BB167" s="1" t="n">
        <v>1</v>
      </c>
      <c r="BC167" s="1" t="n">
        <v>0</v>
      </c>
      <c r="BD167" s="1" t="n">
        <v>0</v>
      </c>
      <c r="BE167" s="1" t="n">
        <v>0</v>
      </c>
      <c r="BF167" s="1" t="n">
        <v>1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1</v>
      </c>
    </row>
    <row r="168" customFormat="false" ht="16.15" hidden="false" customHeight="false" outlineLevel="0" collapsed="false">
      <c r="A168" s="0" t="str">
        <f aca="false">_xlfn.CONCAT(E168, " ", D168)</f>
        <v>Mr. Tony Brooks </v>
      </c>
      <c r="B168" s="0" t="str">
        <f aca="false">LEFT(D168, SEARCH(" ",D168,1))</f>
        <v>Tony </v>
      </c>
      <c r="C168" s="5" t="str">
        <f aca="false">RIGHT(D168,LEN(D168)-SEARCH(" ",D168,1))</f>
        <v>Brooks </v>
      </c>
      <c r="D168" s="1" t="s">
        <v>583</v>
      </c>
      <c r="E168" s="1" t="s">
        <v>66</v>
      </c>
      <c r="F168" s="1" t="s">
        <v>584</v>
      </c>
      <c r="G168" s="1" t="s">
        <v>585</v>
      </c>
      <c r="H168" s="1" t="s">
        <v>586</v>
      </c>
      <c r="I168" s="1" t="s">
        <v>70</v>
      </c>
      <c r="J168" s="1" t="n">
        <v>43042</v>
      </c>
      <c r="K168" s="1" t="n">
        <v>0</v>
      </c>
      <c r="M168" s="1" t="s">
        <v>587</v>
      </c>
      <c r="N168" s="1" t="s">
        <v>588</v>
      </c>
      <c r="O168" s="1" t="s">
        <v>148</v>
      </c>
      <c r="Q168" s="1" t="s">
        <v>82</v>
      </c>
      <c r="R168" s="1" t="s">
        <v>244</v>
      </c>
      <c r="S168" s="1" t="n">
        <v>935314484</v>
      </c>
      <c r="T168" s="6" t="n">
        <v>371412000000000</v>
      </c>
      <c r="V168" s="1" t="n">
        <v>10303</v>
      </c>
      <c r="W168" s="1" t="n">
        <v>4755</v>
      </c>
      <c r="X168" s="7" t="n">
        <v>0.0329282407407407</v>
      </c>
      <c r="Y168" s="7" t="n">
        <v>0.0329328703703704</v>
      </c>
      <c r="Z168" s="1" t="n">
        <v>17.87</v>
      </c>
      <c r="AA168" s="1" t="s">
        <v>294</v>
      </c>
      <c r="AB168" s="7" t="n">
        <v>0.0329282407407407</v>
      </c>
      <c r="AC168" s="2" t="n">
        <v>42498</v>
      </c>
      <c r="AD168" s="1" t="n">
        <v>22</v>
      </c>
      <c r="AE168" s="1" t="n">
        <v>173.09</v>
      </c>
      <c r="AF168" s="1" t="s">
        <v>77</v>
      </c>
      <c r="AG168" s="1" t="s">
        <v>78</v>
      </c>
      <c r="AH168" s="1" t="s">
        <v>112</v>
      </c>
      <c r="AI168" s="1" t="s">
        <v>102</v>
      </c>
      <c r="AJ168" s="1" t="s">
        <v>103</v>
      </c>
      <c r="AK168" s="1" t="n">
        <v>0</v>
      </c>
      <c r="AL168" s="1" t="n">
        <v>0</v>
      </c>
      <c r="AM168" s="1" t="n">
        <v>1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1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1</v>
      </c>
      <c r="BC168" s="1" t="n">
        <v>0</v>
      </c>
      <c r="BD168" s="1" t="n">
        <v>0</v>
      </c>
      <c r="BE168" s="1" t="n">
        <v>0</v>
      </c>
      <c r="BF168" s="1" t="n">
        <v>1</v>
      </c>
      <c r="BG168" s="1" t="n">
        <v>0</v>
      </c>
      <c r="BH168" s="1" t="n">
        <v>0</v>
      </c>
      <c r="BI168" s="1" t="n">
        <v>0</v>
      </c>
      <c r="BJ168" s="1" t="n">
        <v>1</v>
      </c>
      <c r="BK168" s="1" t="n">
        <v>0</v>
      </c>
      <c r="BL168" s="1" t="n">
        <v>0</v>
      </c>
      <c r="BM168" s="1" t="n">
        <v>0</v>
      </c>
    </row>
    <row r="169" customFormat="false" ht="16.15" hidden="false" customHeight="false" outlineLevel="0" collapsed="false">
      <c r="A169" s="0" t="str">
        <f aca="false">_xlfn.CONCAT(E169, " ", D169)</f>
        <v>Mr. Tony Brooks </v>
      </c>
      <c r="B169" s="0" t="str">
        <f aca="false">LEFT(D169, SEARCH(" ",D169,1))</f>
        <v>Tony </v>
      </c>
      <c r="C169" s="5" t="str">
        <f aca="false">RIGHT(D169,LEN(D169)-SEARCH(" ",D169,1))</f>
        <v>Brooks </v>
      </c>
      <c r="D169" s="1" t="s">
        <v>583</v>
      </c>
      <c r="E169" s="1" t="s">
        <v>66</v>
      </c>
      <c r="F169" s="1" t="s">
        <v>584</v>
      </c>
      <c r="G169" s="1" t="s">
        <v>585</v>
      </c>
      <c r="H169" s="1" t="s">
        <v>586</v>
      </c>
      <c r="I169" s="1" t="s">
        <v>70</v>
      </c>
      <c r="J169" s="1" t="n">
        <v>43042</v>
      </c>
      <c r="K169" s="1" t="n">
        <v>0</v>
      </c>
      <c r="M169" s="1" t="s">
        <v>587</v>
      </c>
      <c r="N169" s="1" t="s">
        <v>588</v>
      </c>
      <c r="O169" s="1" t="s">
        <v>148</v>
      </c>
      <c r="Q169" s="1" t="s">
        <v>82</v>
      </c>
      <c r="R169" s="1" t="s">
        <v>244</v>
      </c>
      <c r="S169" s="1" t="n">
        <v>935314484</v>
      </c>
      <c r="T169" s="6" t="n">
        <v>371274000000000</v>
      </c>
      <c r="V169" s="1" t="n">
        <v>10303</v>
      </c>
      <c r="W169" s="1" t="n">
        <v>7349</v>
      </c>
      <c r="X169" s="7" t="n">
        <v>0</v>
      </c>
      <c r="Y169" s="7" t="n">
        <v>0.0137291666666667</v>
      </c>
      <c r="Z169" s="1" t="n">
        <v>19.85</v>
      </c>
      <c r="AA169" s="1" t="s">
        <v>189</v>
      </c>
      <c r="AB169" s="7" t="n">
        <v>0</v>
      </c>
      <c r="AC169" s="2" t="n">
        <v>42441</v>
      </c>
      <c r="AD169" s="1" t="n">
        <v>22</v>
      </c>
      <c r="AE169" s="1" t="n">
        <v>153.47</v>
      </c>
      <c r="AF169" s="1" t="s">
        <v>77</v>
      </c>
      <c r="AG169" s="1" t="s">
        <v>78</v>
      </c>
      <c r="AH169" s="1" t="s">
        <v>112</v>
      </c>
      <c r="AI169" s="1" t="s">
        <v>102</v>
      </c>
      <c r="AJ169" s="1" t="s">
        <v>103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1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1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1</v>
      </c>
      <c r="BK169" s="1" t="n">
        <v>0</v>
      </c>
      <c r="BL169" s="1" t="n">
        <v>0</v>
      </c>
      <c r="BM169" s="1" t="n">
        <v>1</v>
      </c>
    </row>
    <row r="170" customFormat="false" ht="16.15" hidden="false" customHeight="false" outlineLevel="0" collapsed="false">
      <c r="A170" s="0" t="str">
        <f aca="false">_xlfn.CONCAT(E170, " ", D170)</f>
        <v>Mr. Michael Reed </v>
      </c>
      <c r="B170" s="0" t="str">
        <f aca="false">LEFT(D170, SEARCH(" ",D170,1))</f>
        <v>Michael </v>
      </c>
      <c r="C170" s="5" t="str">
        <f aca="false">RIGHT(D170,LEN(D170)-SEARCH(" ",D170,1))</f>
        <v>Reed </v>
      </c>
      <c r="D170" s="1" t="s">
        <v>589</v>
      </c>
      <c r="E170" s="1" t="s">
        <v>66</v>
      </c>
      <c r="F170" s="1" t="s">
        <v>590</v>
      </c>
      <c r="G170" s="1" t="s">
        <v>591</v>
      </c>
      <c r="H170" s="1" t="s">
        <v>382</v>
      </c>
      <c r="I170" s="1" t="s">
        <v>70</v>
      </c>
      <c r="J170" s="1" t="n">
        <v>21010</v>
      </c>
      <c r="K170" s="1" t="n">
        <v>0</v>
      </c>
      <c r="M170" s="1" t="s">
        <v>592</v>
      </c>
      <c r="N170" s="1" t="s">
        <v>593</v>
      </c>
      <c r="O170" s="1" t="s">
        <v>124</v>
      </c>
      <c r="Q170" s="1" t="s">
        <v>230</v>
      </c>
      <c r="R170" s="1" t="s">
        <v>110</v>
      </c>
      <c r="S170" s="6" t="n">
        <v>283000000000000</v>
      </c>
      <c r="T170" s="6" t="n">
        <v>6011470000000000</v>
      </c>
      <c r="V170" s="1" t="n">
        <v>10307</v>
      </c>
      <c r="W170" s="1" t="n">
        <v>748</v>
      </c>
      <c r="X170" s="7" t="n">
        <v>0</v>
      </c>
      <c r="Y170" s="7" t="n">
        <v>0.00794328703703704</v>
      </c>
      <c r="Z170" s="1" t="n">
        <v>11.45</v>
      </c>
      <c r="AA170" s="1" t="s">
        <v>356</v>
      </c>
      <c r="AB170" s="7" t="n">
        <v>0</v>
      </c>
      <c r="AC170" s="2" t="n">
        <v>42623</v>
      </c>
      <c r="AD170" s="1" t="s">
        <v>100</v>
      </c>
      <c r="AE170" s="1" t="n">
        <v>40.27</v>
      </c>
      <c r="AF170" s="1" t="s">
        <v>77</v>
      </c>
      <c r="AG170" s="1" t="s">
        <v>78</v>
      </c>
      <c r="AH170" s="1" t="s">
        <v>112</v>
      </c>
      <c r="AI170" s="1" t="s">
        <v>86</v>
      </c>
      <c r="AJ170" s="1" t="s">
        <v>103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1</v>
      </c>
      <c r="AR170" s="1" t="n">
        <v>0</v>
      </c>
      <c r="AS170" s="1" t="n">
        <v>0</v>
      </c>
      <c r="AT170" s="1" t="n">
        <v>0</v>
      </c>
      <c r="AU170" s="1" t="n">
        <v>1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</row>
    <row r="171" customFormat="false" ht="16.15" hidden="false" customHeight="false" outlineLevel="0" collapsed="false">
      <c r="A171" s="0" t="str">
        <f aca="false">_xlfn.CONCAT(E171, " ", D171)</f>
        <v>Mr. Michael Reed </v>
      </c>
      <c r="B171" s="0" t="str">
        <f aca="false">LEFT(D171, SEARCH(" ",D171,1))</f>
        <v>Michael </v>
      </c>
      <c r="C171" s="5" t="str">
        <f aca="false">RIGHT(D171,LEN(D171)-SEARCH(" ",D171,1))</f>
        <v>Reed </v>
      </c>
      <c r="D171" s="1" t="s">
        <v>589</v>
      </c>
      <c r="E171" s="1" t="s">
        <v>66</v>
      </c>
      <c r="F171" s="1" t="s">
        <v>590</v>
      </c>
      <c r="G171" s="1" t="s">
        <v>591</v>
      </c>
      <c r="H171" s="1" t="s">
        <v>382</v>
      </c>
      <c r="I171" s="1" t="s">
        <v>70</v>
      </c>
      <c r="J171" s="1" t="n">
        <v>21010</v>
      </c>
      <c r="K171" s="1" t="n">
        <v>0</v>
      </c>
      <c r="M171" s="1" t="s">
        <v>592</v>
      </c>
      <c r="N171" s="1" t="s">
        <v>593</v>
      </c>
      <c r="O171" s="1" t="s">
        <v>124</v>
      </c>
      <c r="Q171" s="1" t="s">
        <v>230</v>
      </c>
      <c r="R171" s="1" t="s">
        <v>110</v>
      </c>
      <c r="S171" s="6" t="n">
        <v>283000000000000</v>
      </c>
      <c r="T171" s="6" t="n">
        <v>6011400000000000</v>
      </c>
      <c r="V171" s="1" t="n">
        <v>10307</v>
      </c>
      <c r="W171" s="1" t="n">
        <v>3771</v>
      </c>
      <c r="X171" s="7" t="n">
        <v>0</v>
      </c>
      <c r="Y171" s="7" t="n">
        <v>0.0271550925925926</v>
      </c>
      <c r="Z171" s="1" t="n">
        <v>8.23</v>
      </c>
      <c r="AA171" s="1" t="s">
        <v>99</v>
      </c>
      <c r="AB171" s="7" t="n">
        <v>0</v>
      </c>
      <c r="AC171" s="2" t="n">
        <v>42427</v>
      </c>
      <c r="AD171" s="1" t="s">
        <v>100</v>
      </c>
      <c r="AE171" s="1" t="n">
        <v>253.96</v>
      </c>
      <c r="AF171" s="1" t="s">
        <v>77</v>
      </c>
      <c r="AG171" s="1" t="s">
        <v>78</v>
      </c>
      <c r="AH171" s="1" t="s">
        <v>112</v>
      </c>
      <c r="AI171" s="1" t="s">
        <v>102</v>
      </c>
      <c r="AJ171" s="1" t="s">
        <v>103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1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1</v>
      </c>
      <c r="BA171" s="1" t="n">
        <v>0</v>
      </c>
      <c r="BB171" s="1" t="n">
        <v>1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1</v>
      </c>
      <c r="BK171" s="1" t="n">
        <v>0</v>
      </c>
      <c r="BL171" s="1" t="n">
        <v>1</v>
      </c>
      <c r="BM171" s="1" t="n">
        <v>0</v>
      </c>
    </row>
    <row r="172" customFormat="false" ht="16.15" hidden="false" customHeight="false" outlineLevel="0" collapsed="false">
      <c r="A172" s="0" t="str">
        <f aca="false">_xlfn.CONCAT(E172, " ", D172)</f>
        <v>Mr. Michael Reed </v>
      </c>
      <c r="B172" s="0" t="str">
        <f aca="false">LEFT(D172, SEARCH(" ",D172,1))</f>
        <v>Michael </v>
      </c>
      <c r="C172" s="5" t="str">
        <f aca="false">RIGHT(D172,LEN(D172)-SEARCH(" ",D172,1))</f>
        <v>Reed </v>
      </c>
      <c r="D172" s="1" t="s">
        <v>589</v>
      </c>
      <c r="E172" s="1" t="s">
        <v>66</v>
      </c>
      <c r="F172" s="1" t="s">
        <v>590</v>
      </c>
      <c r="G172" s="1" t="s">
        <v>591</v>
      </c>
      <c r="H172" s="1" t="s">
        <v>382</v>
      </c>
      <c r="I172" s="1" t="s">
        <v>70</v>
      </c>
      <c r="J172" s="1" t="n">
        <v>21010</v>
      </c>
      <c r="K172" s="1" t="n">
        <v>0</v>
      </c>
      <c r="M172" s="1" t="s">
        <v>592</v>
      </c>
      <c r="N172" s="1" t="s">
        <v>593</v>
      </c>
      <c r="O172" s="1" t="s">
        <v>124</v>
      </c>
      <c r="Q172" s="1" t="s">
        <v>230</v>
      </c>
      <c r="R172" s="1" t="s">
        <v>110</v>
      </c>
      <c r="S172" s="6" t="n">
        <v>283000000000000</v>
      </c>
      <c r="T172" s="6" t="n">
        <v>6011100000000000</v>
      </c>
      <c r="V172" s="1" t="n">
        <v>10307</v>
      </c>
      <c r="W172" s="1" t="n">
        <v>3922</v>
      </c>
      <c r="X172" s="7" t="n">
        <v>0</v>
      </c>
      <c r="Y172" s="7" t="n">
        <v>0.0157013888888889</v>
      </c>
      <c r="Z172" s="1" t="n">
        <v>14.8</v>
      </c>
      <c r="AA172" s="1" t="s">
        <v>414</v>
      </c>
      <c r="AB172" s="7" t="n">
        <v>0</v>
      </c>
      <c r="AC172" s="2" t="n">
        <v>42509</v>
      </c>
      <c r="AD172" s="1" t="s">
        <v>100</v>
      </c>
      <c r="AE172" s="1" t="n">
        <v>188.03</v>
      </c>
      <c r="AF172" s="1" t="s">
        <v>77</v>
      </c>
      <c r="AG172" s="1" t="s">
        <v>78</v>
      </c>
      <c r="AH172" s="1" t="s">
        <v>112</v>
      </c>
      <c r="AI172" s="1" t="s">
        <v>102</v>
      </c>
      <c r="AJ172" s="1" t="s">
        <v>103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1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1</v>
      </c>
      <c r="BA172" s="1" t="n">
        <v>0</v>
      </c>
      <c r="BB172" s="1" t="n">
        <v>0</v>
      </c>
      <c r="BC172" s="1" t="n">
        <v>1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1</v>
      </c>
      <c r="BM172" s="1" t="n">
        <v>0</v>
      </c>
    </row>
    <row r="173" customFormat="false" ht="16.15" hidden="false" customHeight="false" outlineLevel="0" collapsed="false">
      <c r="A173" s="0" t="str">
        <f aca="false">_xlfn.CONCAT(E173, " ", D173)</f>
        <v>Mr. Michael Reed </v>
      </c>
      <c r="B173" s="0" t="str">
        <f aca="false">LEFT(D173, SEARCH(" ",D173,1))</f>
        <v>Michael </v>
      </c>
      <c r="C173" s="5" t="str">
        <f aca="false">RIGHT(D173,LEN(D173)-SEARCH(" ",D173,1))</f>
        <v>Reed </v>
      </c>
      <c r="D173" s="1" t="s">
        <v>589</v>
      </c>
      <c r="E173" s="1" t="s">
        <v>66</v>
      </c>
      <c r="F173" s="1" t="s">
        <v>590</v>
      </c>
      <c r="G173" s="1" t="s">
        <v>591</v>
      </c>
      <c r="H173" s="1" t="s">
        <v>382</v>
      </c>
      <c r="I173" s="1" t="s">
        <v>70</v>
      </c>
      <c r="J173" s="1" t="n">
        <v>21010</v>
      </c>
      <c r="K173" s="1" t="n">
        <v>0</v>
      </c>
      <c r="M173" s="1" t="s">
        <v>592</v>
      </c>
      <c r="N173" s="1" t="s">
        <v>593</v>
      </c>
      <c r="O173" s="1" t="s">
        <v>124</v>
      </c>
      <c r="Q173" s="1" t="s">
        <v>230</v>
      </c>
      <c r="R173" s="1" t="s">
        <v>110</v>
      </c>
      <c r="S173" s="6" t="n">
        <v>283000000000000</v>
      </c>
      <c r="T173" s="6" t="n">
        <v>6011610000000000</v>
      </c>
      <c r="V173" s="1" t="n">
        <v>10307</v>
      </c>
      <c r="W173" s="1" t="n">
        <v>7488</v>
      </c>
      <c r="X173" s="7" t="n">
        <v>0.0329282407407407</v>
      </c>
      <c r="Y173" s="7" t="n">
        <v>0.0329328703703704</v>
      </c>
      <c r="Z173" s="1" t="n">
        <v>22.32</v>
      </c>
      <c r="AA173" s="1" t="s">
        <v>111</v>
      </c>
      <c r="AB173" s="7" t="n">
        <v>0.0329282407407407</v>
      </c>
      <c r="AC173" s="2" t="n">
        <v>42498</v>
      </c>
      <c r="AD173" s="1" t="s">
        <v>100</v>
      </c>
      <c r="AE173" s="1" t="n">
        <v>35.25</v>
      </c>
      <c r="AF173" s="1" t="s">
        <v>77</v>
      </c>
      <c r="AG173" s="1" t="s">
        <v>78</v>
      </c>
      <c r="AH173" s="1" t="s">
        <v>112</v>
      </c>
      <c r="AI173" s="1" t="s">
        <v>86</v>
      </c>
      <c r="AJ173" s="1" t="s">
        <v>103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1</v>
      </c>
      <c r="AV173" s="1" t="n">
        <v>0</v>
      </c>
      <c r="AW173" s="1" t="n">
        <v>1</v>
      </c>
      <c r="AX173" s="1" t="n">
        <v>0</v>
      </c>
      <c r="AY173" s="1" t="n">
        <v>0</v>
      </c>
      <c r="AZ173" s="1" t="n">
        <v>0</v>
      </c>
      <c r="BA173" s="1" t="n">
        <v>1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</row>
    <row r="174" customFormat="false" ht="16.15" hidden="false" customHeight="false" outlineLevel="0" collapsed="false">
      <c r="A174" s="0" t="str">
        <f aca="false">_xlfn.CONCAT(E174, " ", D174)</f>
        <v>Mrs. Rosemary Herbert </v>
      </c>
      <c r="B174" s="0" t="str">
        <f aca="false">LEFT(D174, SEARCH(" ",D174,1))</f>
        <v>Rosemary </v>
      </c>
      <c r="C174" s="5" t="str">
        <f aca="false">RIGHT(D174,LEN(D174)-SEARCH(" ",D174,1))</f>
        <v>Herbert </v>
      </c>
      <c r="D174" s="1" t="s">
        <v>594</v>
      </c>
      <c r="E174" s="1" t="s">
        <v>154</v>
      </c>
      <c r="F174" s="1" t="s">
        <v>595</v>
      </c>
      <c r="G174" s="1" t="s">
        <v>596</v>
      </c>
      <c r="H174" s="1" t="s">
        <v>244</v>
      </c>
      <c r="I174" s="1" t="s">
        <v>145</v>
      </c>
      <c r="J174" s="1" t="n">
        <v>90210</v>
      </c>
      <c r="K174" s="1" t="n">
        <v>0</v>
      </c>
      <c r="M174" s="1" t="s">
        <v>597</v>
      </c>
      <c r="N174" s="1" t="s">
        <v>598</v>
      </c>
      <c r="O174" s="1" t="s">
        <v>148</v>
      </c>
      <c r="Q174" s="1" t="s">
        <v>180</v>
      </c>
      <c r="R174" s="1" t="s">
        <v>75</v>
      </c>
      <c r="S174" s="1" t="n">
        <v>22868377</v>
      </c>
      <c r="T174" s="6" t="n">
        <v>375512000000000</v>
      </c>
      <c r="V174" s="1" t="n">
        <v>10311</v>
      </c>
      <c r="W174" s="1" t="n">
        <v>5766</v>
      </c>
      <c r="X174" s="7" t="n">
        <v>0</v>
      </c>
      <c r="Y174" s="7" t="n">
        <v>0.0236053240740741</v>
      </c>
      <c r="Z174" s="1" t="n">
        <v>7.12</v>
      </c>
      <c r="AA174" s="1" t="s">
        <v>138</v>
      </c>
      <c r="AB174" s="7" t="n">
        <v>0</v>
      </c>
      <c r="AC174" s="2" t="n">
        <v>42699</v>
      </c>
      <c r="AD174" s="1" t="n">
        <v>40</v>
      </c>
      <c r="AE174" s="1" t="n">
        <v>15.99</v>
      </c>
      <c r="AF174" s="1" t="s">
        <v>77</v>
      </c>
      <c r="AG174" s="1" t="s">
        <v>78</v>
      </c>
      <c r="AH174" s="1" t="s">
        <v>112</v>
      </c>
      <c r="AI174" s="1" t="s">
        <v>86</v>
      </c>
      <c r="AJ174" s="1" t="s">
        <v>81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1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</row>
    <row r="175" customFormat="false" ht="16.15" hidden="false" customHeight="false" outlineLevel="0" collapsed="false">
      <c r="A175" s="0" t="str">
        <f aca="false">_xlfn.CONCAT(E175, " ", D175)</f>
        <v>Mrs. Judy Larkin </v>
      </c>
      <c r="B175" s="0" t="str">
        <f aca="false">LEFT(D175, SEARCH(" ",D175,1))</f>
        <v>Judy </v>
      </c>
      <c r="C175" s="5" t="str">
        <f aca="false">RIGHT(D175,LEN(D175)-SEARCH(" ",D175,1))</f>
        <v>Larkin </v>
      </c>
      <c r="D175" s="1" t="s">
        <v>599</v>
      </c>
      <c r="E175" s="1" t="s">
        <v>154</v>
      </c>
      <c r="F175" s="1" t="s">
        <v>600</v>
      </c>
      <c r="G175" s="1" t="s">
        <v>601</v>
      </c>
      <c r="H175" s="1" t="s">
        <v>602</v>
      </c>
      <c r="I175" s="1" t="s">
        <v>70</v>
      </c>
      <c r="J175" s="1" t="n">
        <v>31056</v>
      </c>
      <c r="K175" s="1" t="n">
        <v>0</v>
      </c>
      <c r="M175" s="1" t="s">
        <v>603</v>
      </c>
      <c r="N175" s="1" t="s">
        <v>604</v>
      </c>
      <c r="O175" s="1" t="s">
        <v>200</v>
      </c>
      <c r="Q175" s="1" t="s">
        <v>151</v>
      </c>
      <c r="R175" s="1" t="s">
        <v>110</v>
      </c>
      <c r="S175" s="6" t="n">
        <v>115000000000000</v>
      </c>
      <c r="T175" s="6" t="n">
        <v>36526200000000</v>
      </c>
      <c r="V175" s="1" t="n">
        <v>10315</v>
      </c>
      <c r="W175" s="1" t="n">
        <v>4576</v>
      </c>
      <c r="X175" s="7" t="n">
        <v>0</v>
      </c>
      <c r="Y175" s="7" t="n">
        <v>0.01384375</v>
      </c>
      <c r="Z175" s="1" t="n">
        <v>11.15</v>
      </c>
      <c r="AA175" s="1" t="s">
        <v>87</v>
      </c>
      <c r="AB175" s="7" t="n">
        <v>0</v>
      </c>
      <c r="AC175" s="2" t="n">
        <v>42430</v>
      </c>
      <c r="AD175" s="1" t="s">
        <v>100</v>
      </c>
      <c r="AE175" s="1" t="n">
        <v>66.32</v>
      </c>
      <c r="AF175" s="1" t="s">
        <v>77</v>
      </c>
      <c r="AG175" s="1" t="s">
        <v>78</v>
      </c>
      <c r="AH175" s="1" t="s">
        <v>112</v>
      </c>
      <c r="AI175" s="1" t="s">
        <v>80</v>
      </c>
      <c r="AJ175" s="1" t="s">
        <v>103</v>
      </c>
      <c r="AK175" s="1" t="n">
        <v>1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1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1</v>
      </c>
      <c r="BH175" s="1" t="n">
        <v>0</v>
      </c>
      <c r="BI175" s="1" t="n">
        <v>1</v>
      </c>
      <c r="BJ175" s="1" t="n">
        <v>0</v>
      </c>
      <c r="BK175" s="1" t="n">
        <v>0</v>
      </c>
      <c r="BL175" s="1" t="n">
        <v>0</v>
      </c>
      <c r="BM175" s="1" t="n">
        <v>0</v>
      </c>
    </row>
    <row r="176" customFormat="false" ht="16.15" hidden="false" customHeight="false" outlineLevel="0" collapsed="false">
      <c r="A176" s="0" t="str">
        <f aca="false">_xlfn.CONCAT(E176, " ", D176)</f>
        <v>Mrs. Judy Larkin </v>
      </c>
      <c r="B176" s="0" t="str">
        <f aca="false">LEFT(D176, SEARCH(" ",D176,1))</f>
        <v>Judy </v>
      </c>
      <c r="C176" s="5" t="str">
        <f aca="false">RIGHT(D176,LEN(D176)-SEARCH(" ",D176,1))</f>
        <v>Larkin </v>
      </c>
      <c r="D176" s="1" t="s">
        <v>599</v>
      </c>
      <c r="E176" s="1" t="s">
        <v>154</v>
      </c>
      <c r="F176" s="1" t="s">
        <v>600</v>
      </c>
      <c r="G176" s="1" t="s">
        <v>601</v>
      </c>
      <c r="H176" s="1" t="s">
        <v>602</v>
      </c>
      <c r="I176" s="1" t="s">
        <v>70</v>
      </c>
      <c r="J176" s="1" t="n">
        <v>31056</v>
      </c>
      <c r="K176" s="1" t="n">
        <v>0</v>
      </c>
      <c r="M176" s="1" t="s">
        <v>603</v>
      </c>
      <c r="N176" s="1" t="s">
        <v>604</v>
      </c>
      <c r="O176" s="1" t="s">
        <v>200</v>
      </c>
      <c r="Q176" s="1" t="s">
        <v>151</v>
      </c>
      <c r="R176" s="1" t="s">
        <v>110</v>
      </c>
      <c r="S176" s="6" t="n">
        <v>115000000000000</v>
      </c>
      <c r="T176" s="6" t="n">
        <v>36706100000000</v>
      </c>
      <c r="V176" s="1" t="n">
        <v>10315</v>
      </c>
      <c r="W176" s="1" t="n">
        <v>6060</v>
      </c>
      <c r="X176" s="7" t="n">
        <v>0</v>
      </c>
      <c r="Y176" s="7" t="n">
        <v>0.0399143518518519</v>
      </c>
      <c r="Z176" s="1" t="n">
        <v>9</v>
      </c>
      <c r="AA176" s="1" t="s">
        <v>442</v>
      </c>
      <c r="AB176" s="7" t="n">
        <v>0</v>
      </c>
      <c r="AC176" s="2" t="n">
        <v>42633</v>
      </c>
      <c r="AD176" s="1" t="s">
        <v>100</v>
      </c>
      <c r="AE176" s="1" t="n">
        <v>102.6</v>
      </c>
      <c r="AF176" s="1" t="s">
        <v>77</v>
      </c>
      <c r="AG176" s="1" t="s">
        <v>85</v>
      </c>
      <c r="AH176" s="1" t="s">
        <v>112</v>
      </c>
      <c r="AI176" s="1" t="s">
        <v>80</v>
      </c>
      <c r="AJ176" s="1" t="s">
        <v>103</v>
      </c>
      <c r="AK176" s="1" t="n">
        <v>0</v>
      </c>
      <c r="AL176" s="1" t="n">
        <v>0</v>
      </c>
      <c r="AM176" s="1" t="n">
        <v>0</v>
      </c>
      <c r="AN176" s="1" t="n">
        <v>1</v>
      </c>
      <c r="AO176" s="1" t="n">
        <v>0</v>
      </c>
      <c r="AP176" s="1" t="n">
        <v>1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1</v>
      </c>
      <c r="BB176" s="1" t="n">
        <v>0</v>
      </c>
      <c r="BC176" s="1" t="n">
        <v>0</v>
      </c>
      <c r="BD176" s="1" t="n">
        <v>0</v>
      </c>
      <c r="BE176" s="1" t="n">
        <v>1</v>
      </c>
      <c r="BF176" s="1" t="n">
        <v>0</v>
      </c>
      <c r="BG176" s="1" t="n">
        <v>0</v>
      </c>
      <c r="BH176" s="1" t="n">
        <v>0</v>
      </c>
      <c r="BI176" s="1" t="n">
        <v>1</v>
      </c>
      <c r="BJ176" s="1" t="n">
        <v>0</v>
      </c>
      <c r="BK176" s="1" t="n">
        <v>0</v>
      </c>
      <c r="BL176" s="1" t="n">
        <v>0</v>
      </c>
      <c r="BM176" s="1" t="n">
        <v>0</v>
      </c>
    </row>
    <row r="177" customFormat="false" ht="16.15" hidden="false" customHeight="false" outlineLevel="0" collapsed="false">
      <c r="A177" s="0" t="str">
        <f aca="false">_xlfn.CONCAT(E177, " ", D177)</f>
        <v>Mrs. Judy Hopping </v>
      </c>
      <c r="B177" s="0" t="str">
        <f aca="false">LEFT(D177, SEARCH(" ",D177,1))</f>
        <v>Judy </v>
      </c>
      <c r="C177" s="5" t="str">
        <f aca="false">RIGHT(D177,LEN(D177)-SEARCH(" ",D177,1))</f>
        <v>Hopping </v>
      </c>
      <c r="D177" s="1" t="s">
        <v>605</v>
      </c>
      <c r="E177" s="1" t="s">
        <v>154</v>
      </c>
      <c r="F177" s="1" t="s">
        <v>606</v>
      </c>
      <c r="G177" s="1" t="s">
        <v>607</v>
      </c>
      <c r="I177" s="1" t="s">
        <v>110</v>
      </c>
      <c r="J177" s="1" t="n">
        <v>64200</v>
      </c>
      <c r="K177" s="1" t="n">
        <v>0</v>
      </c>
      <c r="M177" s="1" t="s">
        <v>608</v>
      </c>
      <c r="N177" s="1" t="s">
        <v>609</v>
      </c>
      <c r="O177" s="1" t="s">
        <v>73</v>
      </c>
      <c r="Q177" s="1" t="s">
        <v>610</v>
      </c>
      <c r="R177" s="1" t="s">
        <v>110</v>
      </c>
      <c r="S177" s="6" t="n">
        <v>702000000000000</v>
      </c>
      <c r="T177" s="6" t="n">
        <v>5159490000000000</v>
      </c>
      <c r="V177" s="1" t="n">
        <v>10319</v>
      </c>
      <c r="W177" s="1" t="n">
        <v>3624</v>
      </c>
      <c r="X177" s="7" t="n">
        <v>0</v>
      </c>
      <c r="Y177" s="7" t="n">
        <v>0.0330949074074074</v>
      </c>
      <c r="Z177" s="1" t="n">
        <v>9.22</v>
      </c>
      <c r="AA177" s="1" t="s">
        <v>180</v>
      </c>
      <c r="AB177" s="7" t="n">
        <v>0</v>
      </c>
      <c r="AC177" s="2" t="n">
        <v>42536</v>
      </c>
      <c r="AD177" s="1" t="n">
        <v>26</v>
      </c>
      <c r="AE177" s="1" t="n">
        <v>240.95</v>
      </c>
      <c r="AF177" s="1" t="s">
        <v>77</v>
      </c>
      <c r="AG177" s="1" t="s">
        <v>78</v>
      </c>
      <c r="AH177" s="1" t="s">
        <v>112</v>
      </c>
      <c r="AI177" s="1" t="s">
        <v>102</v>
      </c>
      <c r="AJ177" s="1" t="s">
        <v>81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1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1</v>
      </c>
      <c r="BD177" s="1" t="n">
        <v>0</v>
      </c>
      <c r="BE177" s="1" t="n">
        <v>0</v>
      </c>
      <c r="BF177" s="1" t="n">
        <v>1</v>
      </c>
      <c r="BG177" s="1" t="n">
        <v>0</v>
      </c>
      <c r="BH177" s="1" t="n">
        <v>0</v>
      </c>
      <c r="BI177" s="1" t="n">
        <v>0</v>
      </c>
      <c r="BJ177" s="1" t="n">
        <v>1</v>
      </c>
      <c r="BK177" s="1" t="n">
        <v>0</v>
      </c>
      <c r="BL177" s="1" t="n">
        <v>1</v>
      </c>
      <c r="BM177" s="1" t="n">
        <v>0</v>
      </c>
    </row>
    <row r="178" customFormat="false" ht="16.15" hidden="false" customHeight="false" outlineLevel="0" collapsed="false">
      <c r="A178" s="0" t="str">
        <f aca="false">_xlfn.CONCAT(E178, " ", D178)</f>
        <v>Mrs. Judy Hopping </v>
      </c>
      <c r="B178" s="0" t="str">
        <f aca="false">LEFT(D178, SEARCH(" ",D178,1))</f>
        <v>Judy </v>
      </c>
      <c r="C178" s="5" t="str">
        <f aca="false">RIGHT(D178,LEN(D178)-SEARCH(" ",D178,1))</f>
        <v>Hopping </v>
      </c>
      <c r="D178" s="1" t="s">
        <v>605</v>
      </c>
      <c r="E178" s="1" t="s">
        <v>154</v>
      </c>
      <c r="F178" s="1" t="s">
        <v>606</v>
      </c>
      <c r="G178" s="1" t="s">
        <v>607</v>
      </c>
      <c r="I178" s="1" t="s">
        <v>110</v>
      </c>
      <c r="J178" s="1" t="n">
        <v>64200</v>
      </c>
      <c r="K178" s="1" t="n">
        <v>0</v>
      </c>
      <c r="M178" s="1" t="s">
        <v>608</v>
      </c>
      <c r="N178" s="1" t="s">
        <v>609</v>
      </c>
      <c r="O178" s="1" t="s">
        <v>73</v>
      </c>
      <c r="Q178" s="1" t="s">
        <v>610</v>
      </c>
      <c r="R178" s="1" t="s">
        <v>110</v>
      </c>
      <c r="S178" s="6" t="n">
        <v>702000000000000</v>
      </c>
      <c r="T178" s="6" t="n">
        <v>5149180000000000</v>
      </c>
      <c r="V178" s="1" t="n">
        <v>10319</v>
      </c>
      <c r="W178" s="1" t="n">
        <v>4581</v>
      </c>
      <c r="X178" s="7" t="n">
        <v>0</v>
      </c>
      <c r="Y178" s="7" t="n">
        <v>0.0410439814814815</v>
      </c>
      <c r="Z178" s="1" t="n">
        <v>17.23</v>
      </c>
      <c r="AA178" s="1" t="s">
        <v>97</v>
      </c>
      <c r="AB178" s="7" t="n">
        <v>0</v>
      </c>
      <c r="AC178" s="2" t="n">
        <v>42548</v>
      </c>
      <c r="AD178" s="1" t="n">
        <v>26</v>
      </c>
      <c r="AE178" s="1" t="n">
        <v>42.26</v>
      </c>
      <c r="AF178" s="1" t="s">
        <v>77</v>
      </c>
      <c r="AG178" s="1" t="s">
        <v>78</v>
      </c>
      <c r="AH178" s="1" t="s">
        <v>112</v>
      </c>
      <c r="AI178" s="1" t="s">
        <v>86</v>
      </c>
      <c r="AJ178" s="1" t="s">
        <v>81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1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</row>
    <row r="179" customFormat="false" ht="16.15" hidden="false" customHeight="false" outlineLevel="0" collapsed="false">
      <c r="A179" s="0" t="str">
        <f aca="false">_xlfn.CONCAT(E179, " ", D179)</f>
        <v>Mrs. Judy Hopping </v>
      </c>
      <c r="B179" s="0" t="str">
        <f aca="false">LEFT(D179, SEARCH(" ",D179,1))</f>
        <v>Judy </v>
      </c>
      <c r="C179" s="5" t="str">
        <f aca="false">RIGHT(D179,LEN(D179)-SEARCH(" ",D179,1))</f>
        <v>Hopping </v>
      </c>
      <c r="D179" s="1" t="s">
        <v>605</v>
      </c>
      <c r="E179" s="1" t="s">
        <v>154</v>
      </c>
      <c r="F179" s="1" t="s">
        <v>606</v>
      </c>
      <c r="G179" s="1" t="s">
        <v>607</v>
      </c>
      <c r="I179" s="1" t="s">
        <v>110</v>
      </c>
      <c r="J179" s="1" t="n">
        <v>64200</v>
      </c>
      <c r="K179" s="1" t="n">
        <v>0</v>
      </c>
      <c r="M179" s="1" t="s">
        <v>608</v>
      </c>
      <c r="N179" s="1" t="s">
        <v>609</v>
      </c>
      <c r="O179" s="1" t="s">
        <v>73</v>
      </c>
      <c r="Q179" s="1" t="s">
        <v>610</v>
      </c>
      <c r="R179" s="1" t="s">
        <v>110</v>
      </c>
      <c r="S179" s="6" t="n">
        <v>702000000000000</v>
      </c>
      <c r="T179" s="6" t="n">
        <v>5188850000000000</v>
      </c>
      <c r="V179" s="1" t="n">
        <v>10319</v>
      </c>
      <c r="W179" s="1" t="n">
        <v>6362</v>
      </c>
      <c r="X179" s="7" t="n">
        <v>0</v>
      </c>
      <c r="Y179" s="7" t="n">
        <v>0.0232210648148148</v>
      </c>
      <c r="Z179" s="1" t="n">
        <v>18.45</v>
      </c>
      <c r="AA179" s="1" t="s">
        <v>371</v>
      </c>
      <c r="AB179" s="7" t="n">
        <v>0</v>
      </c>
      <c r="AC179" s="2" t="n">
        <v>42694</v>
      </c>
      <c r="AD179" s="1" t="n">
        <v>26</v>
      </c>
      <c r="AE179" s="1" t="n">
        <v>250</v>
      </c>
      <c r="AF179" s="1" t="s">
        <v>77</v>
      </c>
      <c r="AG179" s="1" t="s">
        <v>78</v>
      </c>
      <c r="AH179" s="1" t="s">
        <v>112</v>
      </c>
      <c r="AI179" s="1" t="s">
        <v>102</v>
      </c>
      <c r="AJ179" s="1" t="s">
        <v>81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1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1</v>
      </c>
      <c r="BD179" s="1" t="n">
        <v>0</v>
      </c>
      <c r="BE179" s="1" t="n">
        <v>0</v>
      </c>
      <c r="BF179" s="1" t="n">
        <v>1</v>
      </c>
      <c r="BG179" s="1" t="n">
        <v>0</v>
      </c>
      <c r="BH179" s="1" t="n">
        <v>0</v>
      </c>
      <c r="BI179" s="1" t="n">
        <v>0</v>
      </c>
      <c r="BJ179" s="1" t="n">
        <v>1</v>
      </c>
      <c r="BK179" s="1" t="n">
        <v>0</v>
      </c>
      <c r="BL179" s="1" t="n">
        <v>1</v>
      </c>
      <c r="BM179" s="1" t="n">
        <v>0</v>
      </c>
    </row>
    <row r="180" customFormat="false" ht="16.15" hidden="false" customHeight="false" outlineLevel="0" collapsed="false">
      <c r="A180" s="0" t="str">
        <f aca="false">_xlfn.CONCAT(E180, " ", D180)</f>
        <v>Mrs. Judy Hopping </v>
      </c>
      <c r="B180" s="0" t="str">
        <f aca="false">LEFT(D180, SEARCH(" ",D180,1))</f>
        <v>Judy </v>
      </c>
      <c r="C180" s="5" t="str">
        <f aca="false">RIGHT(D180,LEN(D180)-SEARCH(" ",D180,1))</f>
        <v>Hopping </v>
      </c>
      <c r="D180" s="1" t="s">
        <v>605</v>
      </c>
      <c r="E180" s="1" t="s">
        <v>154</v>
      </c>
      <c r="F180" s="1" t="s">
        <v>606</v>
      </c>
      <c r="G180" s="1" t="s">
        <v>607</v>
      </c>
      <c r="I180" s="1" t="s">
        <v>110</v>
      </c>
      <c r="J180" s="1" t="n">
        <v>64200</v>
      </c>
      <c r="K180" s="1" t="n">
        <v>0</v>
      </c>
      <c r="M180" s="1" t="s">
        <v>608</v>
      </c>
      <c r="N180" s="1" t="s">
        <v>609</v>
      </c>
      <c r="O180" s="1" t="s">
        <v>73</v>
      </c>
      <c r="Q180" s="1" t="s">
        <v>610</v>
      </c>
      <c r="R180" s="1" t="s">
        <v>110</v>
      </c>
      <c r="S180" s="6" t="n">
        <v>702000000000000</v>
      </c>
      <c r="T180" s="6" t="n">
        <v>5104510000000000</v>
      </c>
      <c r="V180" s="1" t="n">
        <v>10319</v>
      </c>
      <c r="W180" s="1" t="n">
        <v>6931</v>
      </c>
      <c r="X180" s="7" t="n">
        <v>0</v>
      </c>
      <c r="Y180" s="7" t="n">
        <v>0.0407974537037037</v>
      </c>
      <c r="Z180" s="1" t="n">
        <v>11.05</v>
      </c>
      <c r="AA180" s="1" t="s">
        <v>484</v>
      </c>
      <c r="AB180" s="7" t="n">
        <v>0</v>
      </c>
      <c r="AC180" s="2" t="n">
        <v>42650</v>
      </c>
      <c r="AD180" s="1" t="n">
        <v>26</v>
      </c>
      <c r="AE180" s="1" t="n">
        <v>213.19</v>
      </c>
      <c r="AF180" s="1" t="s">
        <v>77</v>
      </c>
      <c r="AG180" s="1" t="s">
        <v>78</v>
      </c>
      <c r="AH180" s="1" t="s">
        <v>112</v>
      </c>
      <c r="AI180" s="1" t="s">
        <v>102</v>
      </c>
      <c r="AJ180" s="1" t="s">
        <v>81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1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1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1</v>
      </c>
      <c r="BK180" s="1" t="n">
        <v>0</v>
      </c>
      <c r="BL180" s="1" t="n">
        <v>1</v>
      </c>
      <c r="BM180" s="1" t="n">
        <v>1</v>
      </c>
    </row>
    <row r="181" customFormat="false" ht="16.15" hidden="false" customHeight="false" outlineLevel="0" collapsed="false">
      <c r="A181" s="0" t="str">
        <f aca="false">_xlfn.CONCAT(E181, " ", D181)</f>
        <v>Mr. Joseph Rogers </v>
      </c>
      <c r="B181" s="0" t="str">
        <f aca="false">LEFT(D181, SEARCH(" ",D181,1))</f>
        <v>Joseph </v>
      </c>
      <c r="C181" s="5" t="str">
        <f aca="false">RIGHT(D181,LEN(D181)-SEARCH(" ",D181,1))</f>
        <v>Rogers </v>
      </c>
      <c r="D181" s="1" t="s">
        <v>611</v>
      </c>
      <c r="E181" s="1" t="s">
        <v>66</v>
      </c>
      <c r="F181" s="1" t="s">
        <v>612</v>
      </c>
      <c r="G181" s="1" t="s">
        <v>613</v>
      </c>
      <c r="I181" s="1" t="s">
        <v>93</v>
      </c>
      <c r="J181" s="1" t="n">
        <v>56370</v>
      </c>
      <c r="K181" s="1" t="n">
        <v>0</v>
      </c>
      <c r="M181" s="1" t="s">
        <v>614</v>
      </c>
      <c r="N181" s="1" t="s">
        <v>615</v>
      </c>
      <c r="O181" s="1" t="s">
        <v>200</v>
      </c>
      <c r="Q181" s="1" t="s">
        <v>74</v>
      </c>
      <c r="R181" s="1" t="s">
        <v>121</v>
      </c>
      <c r="S181" s="1" t="s">
        <v>616</v>
      </c>
      <c r="T181" s="6" t="n">
        <v>36501600000000</v>
      </c>
      <c r="V181" s="1" t="n">
        <v>10323</v>
      </c>
      <c r="W181" s="1" t="n">
        <v>1685</v>
      </c>
      <c r="X181" s="7" t="n">
        <v>0</v>
      </c>
      <c r="Y181" s="7" t="n">
        <v>0.0332916666666667</v>
      </c>
      <c r="Z181" s="1" t="n">
        <v>11.45</v>
      </c>
      <c r="AA181" s="1" t="s">
        <v>239</v>
      </c>
      <c r="AB181" s="7" t="n">
        <v>0</v>
      </c>
      <c r="AC181" s="2" t="n">
        <v>42729</v>
      </c>
      <c r="AD181" s="1" t="s">
        <v>100</v>
      </c>
      <c r="AE181" s="1" t="n">
        <v>45.77</v>
      </c>
      <c r="AF181" s="1" t="s">
        <v>129</v>
      </c>
      <c r="AG181" s="1" t="s">
        <v>78</v>
      </c>
      <c r="AH181" s="1" t="s">
        <v>101</v>
      </c>
      <c r="AI181" s="1" t="s">
        <v>86</v>
      </c>
      <c r="AJ181" s="1" t="s">
        <v>103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1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</row>
    <row r="182" customFormat="false" ht="16.15" hidden="false" customHeight="false" outlineLevel="0" collapsed="false">
      <c r="A182" s="0" t="str">
        <f aca="false">_xlfn.CONCAT(E182, " ", D182)</f>
        <v>Mr. Joseph Rogers </v>
      </c>
      <c r="B182" s="0" t="str">
        <f aca="false">LEFT(D182, SEARCH(" ",D182,1))</f>
        <v>Joseph </v>
      </c>
      <c r="C182" s="5" t="str">
        <f aca="false">RIGHT(D182,LEN(D182)-SEARCH(" ",D182,1))</f>
        <v>Rogers </v>
      </c>
      <c r="D182" s="1" t="s">
        <v>611</v>
      </c>
      <c r="E182" s="1" t="s">
        <v>66</v>
      </c>
      <c r="F182" s="1" t="s">
        <v>612</v>
      </c>
      <c r="G182" s="1" t="s">
        <v>613</v>
      </c>
      <c r="I182" s="1" t="s">
        <v>93</v>
      </c>
      <c r="J182" s="1" t="n">
        <v>56370</v>
      </c>
      <c r="K182" s="1" t="n">
        <v>0</v>
      </c>
      <c r="M182" s="1" t="s">
        <v>614</v>
      </c>
      <c r="N182" s="1" t="s">
        <v>615</v>
      </c>
      <c r="O182" s="1" t="s">
        <v>200</v>
      </c>
      <c r="Q182" s="1" t="s">
        <v>74</v>
      </c>
      <c r="R182" s="1" t="s">
        <v>121</v>
      </c>
      <c r="S182" s="1" t="s">
        <v>616</v>
      </c>
      <c r="T182" s="6" t="n">
        <v>36553100000000</v>
      </c>
      <c r="V182" s="1" t="n">
        <v>10323</v>
      </c>
      <c r="W182" s="1" t="n">
        <v>8207</v>
      </c>
      <c r="X182" s="7" t="n">
        <v>0</v>
      </c>
      <c r="Y182" s="7" t="n">
        <v>0.0229108796296296</v>
      </c>
      <c r="Z182" s="1" t="n">
        <v>13.88</v>
      </c>
      <c r="AA182" s="1" t="s">
        <v>455</v>
      </c>
      <c r="AB182" s="7" t="n">
        <v>0</v>
      </c>
      <c r="AC182" s="2" t="n">
        <v>42491</v>
      </c>
      <c r="AD182" s="1" t="s">
        <v>100</v>
      </c>
      <c r="AE182" s="1" t="n">
        <v>30.69</v>
      </c>
      <c r="AF182" s="1" t="s">
        <v>77</v>
      </c>
      <c r="AG182" s="1" t="s">
        <v>85</v>
      </c>
      <c r="AH182" s="1" t="s">
        <v>101</v>
      </c>
      <c r="AI182" s="1" t="s">
        <v>86</v>
      </c>
      <c r="AJ182" s="1" t="s">
        <v>103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1</v>
      </c>
      <c r="AV182" s="1" t="n">
        <v>0</v>
      </c>
      <c r="AW182" s="1" t="n">
        <v>1</v>
      </c>
      <c r="AX182" s="1" t="n">
        <v>1</v>
      </c>
      <c r="AY182" s="1" t="n">
        <v>0</v>
      </c>
      <c r="AZ182" s="1" t="n">
        <v>0</v>
      </c>
      <c r="BA182" s="1" t="n">
        <v>1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</row>
    <row r="183" customFormat="false" ht="16.15" hidden="false" customHeight="false" outlineLevel="0" collapsed="false">
      <c r="A183" s="0" t="str">
        <f aca="false">_xlfn.CONCAT(E183, " ", D183)</f>
        <v>Miss. James Sales </v>
      </c>
      <c r="B183" s="0" t="str">
        <f aca="false">LEFT(D183, SEARCH(" ",D183,1))</f>
        <v>James </v>
      </c>
      <c r="C183" s="5" t="str">
        <f aca="false">RIGHT(D183,LEN(D183)-SEARCH(" ",D183,1))</f>
        <v>Sales </v>
      </c>
      <c r="D183" s="1" t="s">
        <v>617</v>
      </c>
      <c r="E183" s="1" t="s">
        <v>339</v>
      </c>
      <c r="F183" s="1" t="s">
        <v>618</v>
      </c>
      <c r="G183" s="1" t="s">
        <v>619</v>
      </c>
      <c r="H183" s="1" t="s">
        <v>620</v>
      </c>
      <c r="I183" s="1" t="s">
        <v>145</v>
      </c>
      <c r="J183" s="1" t="n">
        <v>59102</v>
      </c>
      <c r="K183" s="1" t="n">
        <v>0</v>
      </c>
      <c r="M183" s="1" t="s">
        <v>621</v>
      </c>
      <c r="N183" s="1" t="s">
        <v>622</v>
      </c>
      <c r="O183" s="1" t="s">
        <v>96</v>
      </c>
      <c r="Q183" s="1" t="s">
        <v>623</v>
      </c>
      <c r="R183" s="1" t="s">
        <v>110</v>
      </c>
      <c r="S183" s="6" t="n">
        <v>250000000000000</v>
      </c>
      <c r="T183" s="6" t="n">
        <v>4638110000000000</v>
      </c>
      <c r="V183" s="1" t="n">
        <v>10327</v>
      </c>
      <c r="W183" s="1" t="n">
        <v>738</v>
      </c>
      <c r="X183" s="7" t="n">
        <v>0</v>
      </c>
      <c r="Y183" s="7" t="n">
        <v>0.00965972222222222</v>
      </c>
      <c r="Z183" s="1" t="n">
        <v>11.85</v>
      </c>
      <c r="AA183" s="1" t="s">
        <v>559</v>
      </c>
      <c r="AB183" s="7" t="n">
        <v>0</v>
      </c>
      <c r="AC183" s="2" t="n">
        <v>42554</v>
      </c>
      <c r="AD183" s="1" t="n">
        <v>65</v>
      </c>
      <c r="AE183" s="1" t="n">
        <v>290.1</v>
      </c>
      <c r="AF183" s="1" t="s">
        <v>77</v>
      </c>
      <c r="AG183" s="1" t="s">
        <v>85</v>
      </c>
      <c r="AH183" s="1" t="s">
        <v>79</v>
      </c>
      <c r="AI183" s="1" t="s">
        <v>102</v>
      </c>
      <c r="AJ183" s="1" t="s">
        <v>113</v>
      </c>
      <c r="AK183" s="1" t="n">
        <v>0</v>
      </c>
      <c r="AL183" s="1" t="n">
        <v>1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1</v>
      </c>
      <c r="BA183" s="1" t="n">
        <v>0</v>
      </c>
      <c r="BB183" s="1" t="n">
        <v>0</v>
      </c>
      <c r="BC183" s="1" t="n">
        <v>1</v>
      </c>
      <c r="BD183" s="1" t="n">
        <v>0</v>
      </c>
      <c r="BE183" s="1" t="n">
        <v>0</v>
      </c>
      <c r="BF183" s="1" t="n">
        <v>1</v>
      </c>
      <c r="BG183" s="1" t="n">
        <v>0</v>
      </c>
      <c r="BH183" s="1" t="n">
        <v>0</v>
      </c>
      <c r="BI183" s="1" t="n">
        <v>1</v>
      </c>
      <c r="BJ183" s="1" t="n">
        <v>0</v>
      </c>
      <c r="BK183" s="1" t="n">
        <v>0</v>
      </c>
      <c r="BL183" s="1" t="n">
        <v>0</v>
      </c>
      <c r="BM183" s="1" t="n">
        <v>1</v>
      </c>
    </row>
    <row r="184" customFormat="false" ht="16.15" hidden="false" customHeight="false" outlineLevel="0" collapsed="false">
      <c r="A184" s="0" t="str">
        <f aca="false">_xlfn.CONCAT(E184, " ", D184)</f>
        <v>Miss. James Sales </v>
      </c>
      <c r="B184" s="0" t="str">
        <f aca="false">LEFT(D184, SEARCH(" ",D184,1))</f>
        <v>James </v>
      </c>
      <c r="C184" s="5" t="str">
        <f aca="false">RIGHT(D184,LEN(D184)-SEARCH(" ",D184,1))</f>
        <v>Sales </v>
      </c>
      <c r="D184" s="1" t="s">
        <v>617</v>
      </c>
      <c r="E184" s="1" t="s">
        <v>339</v>
      </c>
      <c r="F184" s="1" t="s">
        <v>618</v>
      </c>
      <c r="G184" s="1" t="s">
        <v>619</v>
      </c>
      <c r="H184" s="1" t="s">
        <v>620</v>
      </c>
      <c r="I184" s="1" t="s">
        <v>145</v>
      </c>
      <c r="J184" s="1" t="n">
        <v>59102</v>
      </c>
      <c r="K184" s="1" t="n">
        <v>0</v>
      </c>
      <c r="M184" s="1" t="s">
        <v>621</v>
      </c>
      <c r="N184" s="1" t="s">
        <v>622</v>
      </c>
      <c r="O184" s="1" t="s">
        <v>96</v>
      </c>
      <c r="Q184" s="1" t="s">
        <v>623</v>
      </c>
      <c r="R184" s="1" t="s">
        <v>110</v>
      </c>
      <c r="S184" s="6" t="n">
        <v>250000000000000</v>
      </c>
      <c r="T184" s="6" t="n">
        <v>4796570000000000</v>
      </c>
      <c r="V184" s="1" t="n">
        <v>10327</v>
      </c>
      <c r="W184" s="1" t="n">
        <v>758</v>
      </c>
      <c r="X184" s="7" t="n">
        <v>0</v>
      </c>
      <c r="Y184" s="7" t="n">
        <v>0.00886689814814815</v>
      </c>
      <c r="Z184" s="1" t="n">
        <v>6.15</v>
      </c>
      <c r="AA184" s="1" t="s">
        <v>624</v>
      </c>
      <c r="AB184" s="7" t="n">
        <v>0</v>
      </c>
      <c r="AC184" s="2" t="n">
        <v>42432</v>
      </c>
      <c r="AD184" s="1" t="n">
        <v>65</v>
      </c>
      <c r="AE184" s="1" t="n">
        <v>190.14</v>
      </c>
      <c r="AF184" s="1" t="s">
        <v>77</v>
      </c>
      <c r="AG184" s="1" t="s">
        <v>85</v>
      </c>
      <c r="AH184" s="1" t="s">
        <v>79</v>
      </c>
      <c r="AI184" s="1" t="s">
        <v>102</v>
      </c>
      <c r="AJ184" s="1" t="s">
        <v>113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1</v>
      </c>
      <c r="AS184" s="1" t="n">
        <v>0</v>
      </c>
      <c r="AT184" s="1" t="n">
        <v>1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1</v>
      </c>
      <c r="BA184" s="1" t="n">
        <v>0</v>
      </c>
      <c r="BB184" s="1" t="n">
        <v>0</v>
      </c>
      <c r="BC184" s="1" t="n">
        <v>1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1</v>
      </c>
    </row>
    <row r="185" customFormat="false" ht="16.15" hidden="false" customHeight="false" outlineLevel="0" collapsed="false">
      <c r="A185" s="0" t="str">
        <f aca="false">_xlfn.CONCAT(E185, " ", D185)</f>
        <v>Miss. James Sales </v>
      </c>
      <c r="B185" s="0" t="str">
        <f aca="false">LEFT(D185, SEARCH(" ",D185,1))</f>
        <v>James </v>
      </c>
      <c r="C185" s="5" t="str">
        <f aca="false">RIGHT(D185,LEN(D185)-SEARCH(" ",D185,1))</f>
        <v>Sales </v>
      </c>
      <c r="D185" s="1" t="s">
        <v>617</v>
      </c>
      <c r="E185" s="1" t="s">
        <v>339</v>
      </c>
      <c r="F185" s="1" t="s">
        <v>618</v>
      </c>
      <c r="G185" s="1" t="s">
        <v>619</v>
      </c>
      <c r="H185" s="1" t="s">
        <v>620</v>
      </c>
      <c r="I185" s="1" t="s">
        <v>145</v>
      </c>
      <c r="J185" s="1" t="n">
        <v>59102</v>
      </c>
      <c r="K185" s="1" t="n">
        <v>0</v>
      </c>
      <c r="M185" s="1" t="s">
        <v>621</v>
      </c>
      <c r="N185" s="1" t="s">
        <v>622</v>
      </c>
      <c r="O185" s="1" t="s">
        <v>96</v>
      </c>
      <c r="Q185" s="1" t="s">
        <v>623</v>
      </c>
      <c r="R185" s="1" t="s">
        <v>110</v>
      </c>
      <c r="S185" s="6" t="n">
        <v>250000000000000</v>
      </c>
      <c r="T185" s="6" t="n">
        <v>4053410000000000</v>
      </c>
      <c r="V185" s="1" t="n">
        <v>10327</v>
      </c>
      <c r="W185" s="1" t="n">
        <v>6887</v>
      </c>
      <c r="X185" s="7" t="n">
        <v>0</v>
      </c>
      <c r="Y185" s="7" t="n">
        <v>0.0137291666666667</v>
      </c>
      <c r="Z185" s="1" t="n">
        <v>23.78</v>
      </c>
      <c r="AA185" s="1" t="s">
        <v>189</v>
      </c>
      <c r="AB185" s="7" t="n">
        <v>0</v>
      </c>
      <c r="AC185" s="2" t="n">
        <v>42441</v>
      </c>
      <c r="AD185" s="1" t="n">
        <v>65</v>
      </c>
      <c r="AE185" s="1" t="n">
        <v>242</v>
      </c>
      <c r="AF185" s="1" t="s">
        <v>77</v>
      </c>
      <c r="AG185" s="1" t="s">
        <v>85</v>
      </c>
      <c r="AH185" s="1" t="s">
        <v>79</v>
      </c>
      <c r="AI185" s="1" t="s">
        <v>102</v>
      </c>
      <c r="AJ185" s="1" t="s">
        <v>113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1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1</v>
      </c>
      <c r="BA185" s="1" t="n">
        <v>1</v>
      </c>
      <c r="BB185" s="1" t="n">
        <v>0</v>
      </c>
      <c r="BC185" s="1" t="n">
        <v>1</v>
      </c>
      <c r="BD185" s="1" t="n">
        <v>1</v>
      </c>
      <c r="BE185" s="1" t="n">
        <v>1</v>
      </c>
      <c r="BF185" s="1" t="n">
        <v>0</v>
      </c>
      <c r="BG185" s="1" t="n">
        <v>0</v>
      </c>
      <c r="BH185" s="1" t="n">
        <v>0</v>
      </c>
      <c r="BI185" s="1" t="n">
        <v>1</v>
      </c>
      <c r="BJ185" s="1" t="n">
        <v>0</v>
      </c>
      <c r="BK185" s="1" t="n">
        <v>1</v>
      </c>
      <c r="BL185" s="1" t="n">
        <v>0</v>
      </c>
      <c r="BM185" s="1" t="n">
        <v>1</v>
      </c>
    </row>
    <row r="186" customFormat="false" ht="16.15" hidden="false" customHeight="false" outlineLevel="0" collapsed="false">
      <c r="A186" s="0" t="str">
        <f aca="false">_xlfn.CONCAT(E186, " ", D186)</f>
        <v>Miss. James Sales </v>
      </c>
      <c r="B186" s="0" t="str">
        <f aca="false">LEFT(D186, SEARCH(" ",D186,1))</f>
        <v>James </v>
      </c>
      <c r="C186" s="5" t="str">
        <f aca="false">RIGHT(D186,LEN(D186)-SEARCH(" ",D186,1))</f>
        <v>Sales </v>
      </c>
      <c r="D186" s="1" t="s">
        <v>617</v>
      </c>
      <c r="E186" s="1" t="s">
        <v>339</v>
      </c>
      <c r="F186" s="1" t="s">
        <v>618</v>
      </c>
      <c r="G186" s="1" t="s">
        <v>619</v>
      </c>
      <c r="H186" s="1" t="s">
        <v>620</v>
      </c>
      <c r="I186" s="1" t="s">
        <v>145</v>
      </c>
      <c r="J186" s="1" t="n">
        <v>59102</v>
      </c>
      <c r="K186" s="1" t="n">
        <v>0</v>
      </c>
      <c r="M186" s="1" t="s">
        <v>621</v>
      </c>
      <c r="N186" s="1" t="s">
        <v>622</v>
      </c>
      <c r="O186" s="1" t="s">
        <v>96</v>
      </c>
      <c r="Q186" s="1" t="s">
        <v>623</v>
      </c>
      <c r="R186" s="1" t="s">
        <v>110</v>
      </c>
      <c r="S186" s="6" t="n">
        <v>250000000000000</v>
      </c>
      <c r="T186" s="6" t="n">
        <v>4188580000000000</v>
      </c>
      <c r="V186" s="1" t="n">
        <v>10327</v>
      </c>
      <c r="W186" s="1" t="n">
        <v>7923</v>
      </c>
      <c r="X186" s="7" t="n">
        <v>0</v>
      </c>
      <c r="Y186" s="7" t="n">
        <v>0.0177847222222222</v>
      </c>
      <c r="Z186" s="1" t="n">
        <v>13.33</v>
      </c>
      <c r="AA186" s="1" t="s">
        <v>211</v>
      </c>
      <c r="AB186" s="7" t="n">
        <v>0</v>
      </c>
      <c r="AC186" s="2" t="n">
        <v>42459</v>
      </c>
      <c r="AD186" s="1" t="n">
        <v>65</v>
      </c>
      <c r="AE186" s="1" t="n">
        <v>243.61</v>
      </c>
      <c r="AF186" s="1" t="s">
        <v>77</v>
      </c>
      <c r="AG186" s="1" t="s">
        <v>85</v>
      </c>
      <c r="AH186" s="1" t="s">
        <v>79</v>
      </c>
      <c r="AI186" s="1" t="s">
        <v>102</v>
      </c>
      <c r="AJ186" s="1" t="s">
        <v>113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1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1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1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1</v>
      </c>
      <c r="BM186" s="1" t="n">
        <v>1</v>
      </c>
    </row>
    <row r="187" customFormat="false" ht="16.15" hidden="false" customHeight="false" outlineLevel="0" collapsed="false">
      <c r="A187" s="0" t="str">
        <f aca="false">_xlfn.CONCAT(E187, " ", D187)</f>
        <v>Miss. James Sales </v>
      </c>
      <c r="B187" s="0" t="str">
        <f aca="false">LEFT(D187, SEARCH(" ",D187,1))</f>
        <v>James </v>
      </c>
      <c r="C187" s="5" t="str">
        <f aca="false">RIGHT(D187,LEN(D187)-SEARCH(" ",D187,1))</f>
        <v>Sales </v>
      </c>
      <c r="D187" s="1" t="s">
        <v>617</v>
      </c>
      <c r="E187" s="1" t="s">
        <v>339</v>
      </c>
      <c r="F187" s="1" t="s">
        <v>618</v>
      </c>
      <c r="G187" s="1" t="s">
        <v>619</v>
      </c>
      <c r="H187" s="1" t="s">
        <v>620</v>
      </c>
      <c r="I187" s="1" t="s">
        <v>145</v>
      </c>
      <c r="J187" s="1" t="n">
        <v>59102</v>
      </c>
      <c r="K187" s="1" t="n">
        <v>0</v>
      </c>
      <c r="M187" s="1" t="s">
        <v>621</v>
      </c>
      <c r="N187" s="1" t="s">
        <v>622</v>
      </c>
      <c r="O187" s="1" t="s">
        <v>96</v>
      </c>
      <c r="Q187" s="1" t="s">
        <v>623</v>
      </c>
      <c r="R187" s="1" t="s">
        <v>110</v>
      </c>
      <c r="S187" s="6" t="n">
        <v>250000000000000</v>
      </c>
      <c r="T187" s="6" t="n">
        <v>4993740000000000</v>
      </c>
      <c r="V187" s="1" t="n">
        <v>10327</v>
      </c>
      <c r="W187" s="1" t="n">
        <v>8518</v>
      </c>
      <c r="X187" s="7" t="n">
        <v>0</v>
      </c>
      <c r="Y187" s="7" t="n">
        <v>0.01384375</v>
      </c>
      <c r="Z187" s="1" t="n">
        <v>33.99</v>
      </c>
      <c r="AA187" s="1" t="s">
        <v>87</v>
      </c>
      <c r="AB187" s="7" t="n">
        <v>0</v>
      </c>
      <c r="AC187" s="2" t="n">
        <v>42430</v>
      </c>
      <c r="AD187" s="1" t="n">
        <v>65</v>
      </c>
      <c r="AE187" s="1" t="n">
        <v>219.49</v>
      </c>
      <c r="AF187" s="1" t="s">
        <v>129</v>
      </c>
      <c r="AG187" s="1" t="s">
        <v>85</v>
      </c>
      <c r="AH187" s="1" t="s">
        <v>79</v>
      </c>
      <c r="AI187" s="1" t="s">
        <v>102</v>
      </c>
      <c r="AJ187" s="1" t="s">
        <v>113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1</v>
      </c>
      <c r="BC187" s="1" t="n">
        <v>1</v>
      </c>
      <c r="BD187" s="1" t="n">
        <v>0</v>
      </c>
      <c r="BE187" s="1" t="n">
        <v>0</v>
      </c>
      <c r="BF187" s="1" t="n">
        <v>1</v>
      </c>
      <c r="BG187" s="1" t="n">
        <v>0</v>
      </c>
      <c r="BH187" s="1" t="n">
        <v>0</v>
      </c>
      <c r="BI187" s="1" t="n">
        <v>0</v>
      </c>
      <c r="BJ187" s="1" t="n">
        <v>1</v>
      </c>
      <c r="BK187" s="1" t="n">
        <v>0</v>
      </c>
      <c r="BL187" s="1" t="n">
        <v>0</v>
      </c>
      <c r="BM187" s="1" t="n">
        <v>0</v>
      </c>
    </row>
    <row r="188" customFormat="false" ht="16.15" hidden="false" customHeight="false" outlineLevel="0" collapsed="false">
      <c r="A188" s="0" t="str">
        <f aca="false">_xlfn.CONCAT(E188, " ", D188)</f>
        <v>Mr. Charles Pickett </v>
      </c>
      <c r="B188" s="0" t="str">
        <f aca="false">LEFT(D188, SEARCH(" ",D188,1))</f>
        <v>Charles </v>
      </c>
      <c r="C188" s="5" t="str">
        <f aca="false">RIGHT(D188,LEN(D188)-SEARCH(" ",D188,1))</f>
        <v>Pickett </v>
      </c>
      <c r="D188" s="1" t="s">
        <v>625</v>
      </c>
      <c r="E188" s="1" t="s">
        <v>66</v>
      </c>
      <c r="F188" s="1" t="s">
        <v>626</v>
      </c>
      <c r="G188" s="1" t="s">
        <v>627</v>
      </c>
      <c r="H188" s="1" t="s">
        <v>628</v>
      </c>
      <c r="I188" s="1" t="s">
        <v>145</v>
      </c>
      <c r="J188" s="1" t="n">
        <v>99740</v>
      </c>
      <c r="K188" s="1" t="n">
        <v>0</v>
      </c>
      <c r="M188" s="1" t="s">
        <v>629</v>
      </c>
      <c r="N188" s="1" t="s">
        <v>630</v>
      </c>
      <c r="O188" s="1" t="s">
        <v>124</v>
      </c>
      <c r="Q188" s="1" t="s">
        <v>316</v>
      </c>
      <c r="R188" s="1" t="s">
        <v>121</v>
      </c>
      <c r="S188" s="1" t="s">
        <v>631</v>
      </c>
      <c r="T188" s="6" t="n">
        <v>6011160000000000</v>
      </c>
      <c r="V188" s="1" t="n">
        <v>10331</v>
      </c>
      <c r="W188" s="1" t="n">
        <v>1944</v>
      </c>
      <c r="X188" s="7" t="n">
        <v>0</v>
      </c>
      <c r="Y188" s="7" t="n">
        <v>0.0304930555555556</v>
      </c>
      <c r="Z188" s="1" t="n">
        <v>19.05</v>
      </c>
      <c r="AA188" s="1" t="s">
        <v>277</v>
      </c>
      <c r="AB188" s="7" t="n">
        <v>0</v>
      </c>
      <c r="AC188" s="2" t="n">
        <v>42716</v>
      </c>
      <c r="AD188" s="1" t="n">
        <v>64</v>
      </c>
      <c r="AE188" s="1" t="n">
        <v>10</v>
      </c>
      <c r="AF188" s="1" t="s">
        <v>83</v>
      </c>
      <c r="AG188" s="1" t="s">
        <v>78</v>
      </c>
      <c r="AH188" s="1" t="s">
        <v>112</v>
      </c>
      <c r="AI188" s="1" t="s">
        <v>86</v>
      </c>
      <c r="AJ188" s="1" t="s">
        <v>113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1</v>
      </c>
      <c r="AV188" s="1" t="n">
        <v>0</v>
      </c>
      <c r="AW188" s="1" t="n">
        <v>1</v>
      </c>
      <c r="AX188" s="1" t="n">
        <v>0</v>
      </c>
      <c r="AY188" s="1" t="n">
        <v>0</v>
      </c>
      <c r="AZ188" s="1" t="n">
        <v>0</v>
      </c>
      <c r="BA188" s="1" t="n">
        <v>1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</row>
    <row r="189" customFormat="false" ht="16.15" hidden="false" customHeight="false" outlineLevel="0" collapsed="false">
      <c r="A189" s="0" t="str">
        <f aca="false">_xlfn.CONCAT(E189, " ", D189)</f>
        <v>Mrs. Margaret Shelton </v>
      </c>
      <c r="B189" s="0" t="str">
        <f aca="false">LEFT(D189, SEARCH(" ",D189,1))</f>
        <v>Margaret </v>
      </c>
      <c r="C189" s="5" t="str">
        <f aca="false">RIGHT(D189,LEN(D189)-SEARCH(" ",D189,1))</f>
        <v>Shelton </v>
      </c>
      <c r="D189" s="1" t="s">
        <v>632</v>
      </c>
      <c r="E189" s="1" t="s">
        <v>154</v>
      </c>
      <c r="F189" s="1" t="s">
        <v>633</v>
      </c>
      <c r="G189" s="1" t="s">
        <v>634</v>
      </c>
      <c r="H189" s="1" t="s">
        <v>635</v>
      </c>
      <c r="I189" s="1" t="s">
        <v>145</v>
      </c>
      <c r="J189" s="1" t="n">
        <v>35222</v>
      </c>
      <c r="K189" s="1" t="n">
        <v>0</v>
      </c>
      <c r="M189" s="1" t="s">
        <v>636</v>
      </c>
      <c r="N189" s="1" t="s">
        <v>637</v>
      </c>
      <c r="O189" s="1" t="s">
        <v>124</v>
      </c>
      <c r="Q189" s="1" t="s">
        <v>638</v>
      </c>
      <c r="R189" s="1" t="s">
        <v>244</v>
      </c>
      <c r="S189" s="1" t="n">
        <v>944146232</v>
      </c>
      <c r="T189" s="6" t="n">
        <v>6011530000000000</v>
      </c>
      <c r="V189" s="1" t="n">
        <v>10335</v>
      </c>
      <c r="W189" s="1" t="n">
        <v>235</v>
      </c>
      <c r="X189" s="7" t="n">
        <v>0</v>
      </c>
      <c r="Y189" s="7" t="n">
        <v>0.0166041666666667</v>
      </c>
      <c r="Z189" s="1" t="n">
        <v>16.85</v>
      </c>
      <c r="AA189" s="1" t="s">
        <v>309</v>
      </c>
      <c r="AB189" s="7" t="n">
        <v>0</v>
      </c>
      <c r="AC189" s="2" t="n">
        <v>42427</v>
      </c>
      <c r="AD189" s="1" t="n">
        <v>45</v>
      </c>
      <c r="AE189" s="1" t="n">
        <v>47.31</v>
      </c>
      <c r="AF189" s="1" t="s">
        <v>77</v>
      </c>
      <c r="AG189" s="1" t="s">
        <v>78</v>
      </c>
      <c r="AH189" s="1" t="s">
        <v>112</v>
      </c>
      <c r="AI189" s="1" t="s">
        <v>86</v>
      </c>
      <c r="AJ189" s="1" t="s">
        <v>152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1</v>
      </c>
      <c r="AV189" s="1" t="n">
        <v>0</v>
      </c>
      <c r="AW189" s="1" t="n">
        <v>1</v>
      </c>
      <c r="AX189" s="1" t="n">
        <v>0</v>
      </c>
      <c r="AY189" s="1" t="n">
        <v>0</v>
      </c>
      <c r="AZ189" s="1" t="n">
        <v>0</v>
      </c>
      <c r="BA189" s="1" t="n">
        <v>1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</row>
    <row r="190" customFormat="false" ht="16.15" hidden="false" customHeight="false" outlineLevel="0" collapsed="false">
      <c r="A190" s="0" t="str">
        <f aca="false">_xlfn.CONCAT(E190, " ", D190)</f>
        <v>Mrs. Margaret Shelton </v>
      </c>
      <c r="B190" s="0" t="str">
        <f aca="false">LEFT(D190, SEARCH(" ",D190,1))</f>
        <v>Margaret </v>
      </c>
      <c r="C190" s="5" t="str">
        <f aca="false">RIGHT(D190,LEN(D190)-SEARCH(" ",D190,1))</f>
        <v>Shelton </v>
      </c>
      <c r="D190" s="1" t="s">
        <v>632</v>
      </c>
      <c r="E190" s="1" t="s">
        <v>154</v>
      </c>
      <c r="F190" s="1" t="s">
        <v>633</v>
      </c>
      <c r="G190" s="1" t="s">
        <v>634</v>
      </c>
      <c r="H190" s="1" t="s">
        <v>635</v>
      </c>
      <c r="I190" s="1" t="s">
        <v>145</v>
      </c>
      <c r="J190" s="1" t="n">
        <v>35222</v>
      </c>
      <c r="K190" s="1" t="n">
        <v>0</v>
      </c>
      <c r="M190" s="1" t="s">
        <v>636</v>
      </c>
      <c r="N190" s="1" t="s">
        <v>637</v>
      </c>
      <c r="O190" s="1" t="s">
        <v>124</v>
      </c>
      <c r="Q190" s="1" t="s">
        <v>638</v>
      </c>
      <c r="R190" s="1" t="s">
        <v>244</v>
      </c>
      <c r="S190" s="1" t="n">
        <v>944146232</v>
      </c>
      <c r="T190" s="6" t="n">
        <v>6011070000000000</v>
      </c>
      <c r="V190" s="1" t="n">
        <v>10335</v>
      </c>
      <c r="W190" s="1" t="n">
        <v>7464</v>
      </c>
      <c r="X190" s="7" t="n">
        <v>0</v>
      </c>
      <c r="Y190" s="7" t="n">
        <v>0.022744212962963</v>
      </c>
      <c r="Z190" s="1" t="n">
        <v>48.52</v>
      </c>
      <c r="AA190" s="1" t="s">
        <v>639</v>
      </c>
      <c r="AB190" s="7" t="n">
        <v>0</v>
      </c>
      <c r="AC190" s="2" t="n">
        <v>42712</v>
      </c>
      <c r="AD190" s="1" t="n">
        <v>45</v>
      </c>
      <c r="AE190" s="1" t="n">
        <v>31.71</v>
      </c>
      <c r="AF190" s="1" t="s">
        <v>77</v>
      </c>
      <c r="AG190" s="1" t="s">
        <v>78</v>
      </c>
      <c r="AH190" s="1" t="s">
        <v>112</v>
      </c>
      <c r="AI190" s="1" t="s">
        <v>86</v>
      </c>
      <c r="AJ190" s="1" t="s">
        <v>152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1</v>
      </c>
      <c r="AV190" s="1" t="n">
        <v>0</v>
      </c>
      <c r="AW190" s="1" t="n">
        <v>0</v>
      </c>
      <c r="AX190" s="1" t="n">
        <v>1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</row>
    <row r="191" customFormat="false" ht="16.15" hidden="false" customHeight="false" outlineLevel="0" collapsed="false">
      <c r="A191" s="0" t="str">
        <f aca="false">_xlfn.CONCAT(E191, " ", D191)</f>
        <v>Mrs. Rebecca Uresti </v>
      </c>
      <c r="B191" s="0" t="str">
        <f aca="false">LEFT(D191, SEARCH(" ",D191,1))</f>
        <v>Rebecca </v>
      </c>
      <c r="C191" s="5" t="str">
        <f aca="false">RIGHT(D191,LEN(D191)-SEARCH(" ",D191,1))</f>
        <v>Uresti </v>
      </c>
      <c r="D191" s="1" t="s">
        <v>640</v>
      </c>
      <c r="E191" s="1" t="s">
        <v>154</v>
      </c>
      <c r="F191" s="1" t="s">
        <v>641</v>
      </c>
      <c r="G191" s="1" t="s">
        <v>634</v>
      </c>
      <c r="H191" s="1" t="s">
        <v>635</v>
      </c>
      <c r="I191" s="1" t="s">
        <v>145</v>
      </c>
      <c r="J191" s="1" t="n">
        <v>35203</v>
      </c>
      <c r="K191" s="1" t="n">
        <v>0</v>
      </c>
      <c r="M191" s="1" t="s">
        <v>642</v>
      </c>
      <c r="N191" s="1" t="s">
        <v>643</v>
      </c>
      <c r="O191" s="1" t="s">
        <v>96</v>
      </c>
      <c r="Q191" s="1" t="s">
        <v>345</v>
      </c>
      <c r="R191" s="1" t="s">
        <v>385</v>
      </c>
      <c r="S191" s="1" t="s">
        <v>644</v>
      </c>
      <c r="T191" s="6" t="n">
        <v>4446370000000000</v>
      </c>
      <c r="V191" s="1" t="n">
        <v>10339</v>
      </c>
      <c r="W191" s="1" t="n">
        <v>4716</v>
      </c>
      <c r="X191" s="7" t="n">
        <v>0</v>
      </c>
      <c r="Y191" s="7" t="n">
        <v>0.00794328703703704</v>
      </c>
      <c r="Z191" s="1" t="n">
        <v>7.45</v>
      </c>
      <c r="AA191" s="1" t="s">
        <v>396</v>
      </c>
      <c r="AB191" s="7" t="n">
        <v>0</v>
      </c>
      <c r="AC191" s="2" t="n">
        <v>42541</v>
      </c>
      <c r="AD191" s="1" t="n">
        <v>55</v>
      </c>
      <c r="AE191" s="1" t="n">
        <v>8.49</v>
      </c>
      <c r="AF191" s="1" t="s">
        <v>77</v>
      </c>
      <c r="AG191" s="1" t="s">
        <v>78</v>
      </c>
      <c r="AH191" s="1" t="s">
        <v>112</v>
      </c>
      <c r="AI191" s="1" t="s">
        <v>86</v>
      </c>
      <c r="AJ191" s="1" t="s">
        <v>113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1</v>
      </c>
      <c r="AV191" s="1" t="n">
        <v>0</v>
      </c>
      <c r="AW191" s="1" t="n">
        <v>1</v>
      </c>
      <c r="AX191" s="1" t="n">
        <v>1</v>
      </c>
      <c r="AY191" s="1" t="n">
        <v>0</v>
      </c>
      <c r="AZ191" s="1" t="n">
        <v>0</v>
      </c>
      <c r="BA191" s="1" t="n">
        <v>1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</row>
    <row r="192" customFormat="false" ht="16.15" hidden="false" customHeight="false" outlineLevel="0" collapsed="false">
      <c r="A192" s="0" t="str">
        <f aca="false">_xlfn.CONCAT(E192, " ", D192)</f>
        <v>Mrs. Emma Perez </v>
      </c>
      <c r="B192" s="0" t="str">
        <f aca="false">LEFT(D192, SEARCH(" ",D192,1))</f>
        <v>Emma </v>
      </c>
      <c r="C192" s="5" t="str">
        <f aca="false">RIGHT(D192,LEN(D192)-SEARCH(" ",D192,1))</f>
        <v>Perez </v>
      </c>
      <c r="D192" s="1" t="s">
        <v>645</v>
      </c>
      <c r="E192" s="1" t="s">
        <v>154</v>
      </c>
      <c r="F192" s="1" t="s">
        <v>646</v>
      </c>
      <c r="G192" s="1" t="s">
        <v>647</v>
      </c>
      <c r="H192" s="1" t="s">
        <v>648</v>
      </c>
      <c r="I192" s="1" t="s">
        <v>145</v>
      </c>
      <c r="J192" s="1" t="n">
        <v>57718</v>
      </c>
      <c r="K192" s="1" t="n">
        <v>0</v>
      </c>
      <c r="M192" s="1" t="s">
        <v>649</v>
      </c>
      <c r="N192" s="1" t="s">
        <v>650</v>
      </c>
      <c r="O192" s="1" t="s">
        <v>148</v>
      </c>
      <c r="Q192" s="1" t="s">
        <v>257</v>
      </c>
      <c r="R192" s="1" t="s">
        <v>110</v>
      </c>
      <c r="S192" s="6" t="n">
        <v>159000000000000</v>
      </c>
      <c r="T192" s="6" t="n">
        <v>344168000000000</v>
      </c>
      <c r="V192" s="1" t="n">
        <v>10343</v>
      </c>
      <c r="W192" s="1" t="n">
        <v>2071</v>
      </c>
      <c r="X192" s="7" t="n">
        <v>0</v>
      </c>
      <c r="Y192" s="7" t="n">
        <v>0.0413912037037037</v>
      </c>
      <c r="Z192" s="1" t="n">
        <v>5.66</v>
      </c>
      <c r="AA192" s="1" t="s">
        <v>258</v>
      </c>
      <c r="AB192" s="7" t="n">
        <v>0</v>
      </c>
      <c r="AC192" s="2" t="n">
        <v>42731</v>
      </c>
      <c r="AD192" s="1" t="n">
        <v>58</v>
      </c>
      <c r="AE192" s="1" t="n">
        <v>33.33</v>
      </c>
      <c r="AF192" s="1" t="s">
        <v>77</v>
      </c>
      <c r="AG192" s="1" t="s">
        <v>78</v>
      </c>
      <c r="AH192" s="1" t="s">
        <v>112</v>
      </c>
      <c r="AI192" s="1" t="s">
        <v>86</v>
      </c>
      <c r="AJ192" s="1" t="s">
        <v>113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1</v>
      </c>
      <c r="AV192" s="1" t="n">
        <v>0</v>
      </c>
      <c r="AW192" s="1" t="n">
        <v>1</v>
      </c>
      <c r="AX192" s="1" t="n">
        <v>0</v>
      </c>
      <c r="AY192" s="1" t="n">
        <v>0</v>
      </c>
      <c r="AZ192" s="1" t="n">
        <v>0</v>
      </c>
      <c r="BA192" s="1" t="n">
        <v>1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</row>
    <row r="193" customFormat="false" ht="16.15" hidden="false" customHeight="false" outlineLevel="0" collapsed="false">
      <c r="A193" s="0" t="str">
        <f aca="false">_xlfn.CONCAT(E193, " ", D193)</f>
        <v>Mr. Reynaldo Myers </v>
      </c>
      <c r="B193" s="0" t="str">
        <f aca="false">LEFT(D193, SEARCH(" ",D193,1))</f>
        <v>Reynaldo </v>
      </c>
      <c r="C193" s="5" t="str">
        <f aca="false">RIGHT(D193,LEN(D193)-SEARCH(" ",D193,1))</f>
        <v>Myers </v>
      </c>
      <c r="D193" s="1" t="s">
        <v>651</v>
      </c>
      <c r="E193" s="1" t="s">
        <v>66</v>
      </c>
      <c r="F193" s="1" t="s">
        <v>652</v>
      </c>
      <c r="G193" s="1" t="s">
        <v>653</v>
      </c>
      <c r="H193" s="1" t="s">
        <v>342</v>
      </c>
      <c r="I193" s="1" t="s">
        <v>288</v>
      </c>
      <c r="J193" s="1" t="n">
        <v>2774</v>
      </c>
      <c r="K193" s="1" t="n">
        <v>0</v>
      </c>
      <c r="M193" s="1" t="s">
        <v>654</v>
      </c>
      <c r="N193" s="1" t="s">
        <v>655</v>
      </c>
      <c r="O193" s="1" t="s">
        <v>148</v>
      </c>
      <c r="Q193" s="1" t="s">
        <v>455</v>
      </c>
      <c r="R193" s="1" t="s">
        <v>110</v>
      </c>
      <c r="S193" s="6" t="n">
        <v>814000000000000</v>
      </c>
      <c r="T193" s="6" t="n">
        <v>372006000000000</v>
      </c>
      <c r="V193" s="1" t="n">
        <v>10347</v>
      </c>
      <c r="W193" s="1" t="n">
        <v>3591</v>
      </c>
      <c r="X193" s="7" t="n">
        <v>0.0329282407407407</v>
      </c>
      <c r="Y193" s="7" t="n">
        <v>0.0329328703703704</v>
      </c>
      <c r="Z193" s="1" t="n">
        <v>6.15</v>
      </c>
      <c r="AA193" s="1" t="s">
        <v>317</v>
      </c>
      <c r="AB193" s="7" t="n">
        <v>0.0329282407407407</v>
      </c>
      <c r="AC193" s="2" t="n">
        <v>42498</v>
      </c>
      <c r="AD193" s="1" t="n">
        <v>54</v>
      </c>
      <c r="AE193" s="1" t="n">
        <v>30.71</v>
      </c>
      <c r="AF193" s="1" t="s">
        <v>77</v>
      </c>
      <c r="AG193" s="1" t="s">
        <v>78</v>
      </c>
      <c r="AH193" s="1" t="s">
        <v>112</v>
      </c>
      <c r="AI193" s="1" t="s">
        <v>86</v>
      </c>
      <c r="AJ193" s="1" t="s">
        <v>113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1</v>
      </c>
      <c r="AV193" s="1" t="n">
        <v>0</v>
      </c>
      <c r="AW193" s="1" t="n">
        <v>1</v>
      </c>
      <c r="AX193" s="1" t="n">
        <v>1</v>
      </c>
      <c r="AY193" s="1" t="n">
        <v>0</v>
      </c>
      <c r="AZ193" s="1" t="n">
        <v>0</v>
      </c>
      <c r="BA193" s="1" t="n">
        <v>1</v>
      </c>
      <c r="BB193" s="1" t="n">
        <v>0</v>
      </c>
      <c r="BC193" s="1" t="n">
        <v>0</v>
      </c>
      <c r="BD193" s="1" t="n">
        <v>0</v>
      </c>
      <c r="BE193" s="1" t="n">
        <v>1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</row>
    <row r="194" customFormat="false" ht="16.15" hidden="false" customHeight="false" outlineLevel="0" collapsed="false">
      <c r="A194" s="0" t="str">
        <f aca="false">_xlfn.CONCAT(E194, " ", D194)</f>
        <v>Mr. Reynaldo Myers </v>
      </c>
      <c r="B194" s="0" t="str">
        <f aca="false">LEFT(D194, SEARCH(" ",D194,1))</f>
        <v>Reynaldo </v>
      </c>
      <c r="C194" s="5" t="str">
        <f aca="false">RIGHT(D194,LEN(D194)-SEARCH(" ",D194,1))</f>
        <v>Myers </v>
      </c>
      <c r="D194" s="1" t="s">
        <v>651</v>
      </c>
      <c r="E194" s="1" t="s">
        <v>66</v>
      </c>
      <c r="F194" s="1" t="s">
        <v>652</v>
      </c>
      <c r="G194" s="1" t="s">
        <v>653</v>
      </c>
      <c r="H194" s="1" t="s">
        <v>342</v>
      </c>
      <c r="I194" s="1" t="s">
        <v>288</v>
      </c>
      <c r="J194" s="1" t="n">
        <v>2774</v>
      </c>
      <c r="K194" s="1" t="n">
        <v>0</v>
      </c>
      <c r="M194" s="1" t="s">
        <v>654</v>
      </c>
      <c r="N194" s="1" t="s">
        <v>655</v>
      </c>
      <c r="O194" s="1" t="s">
        <v>148</v>
      </c>
      <c r="Q194" s="1" t="s">
        <v>455</v>
      </c>
      <c r="R194" s="1" t="s">
        <v>110</v>
      </c>
      <c r="S194" s="6" t="n">
        <v>814000000000000</v>
      </c>
      <c r="T194" s="6" t="n">
        <v>375546000000000</v>
      </c>
      <c r="V194" s="1" t="n">
        <v>10347</v>
      </c>
      <c r="W194" s="1" t="n">
        <v>9145</v>
      </c>
      <c r="X194" s="7" t="n">
        <v>0</v>
      </c>
      <c r="Y194" s="7" t="n">
        <v>0.0271550925925926</v>
      </c>
      <c r="Z194" s="1" t="n">
        <v>18.24</v>
      </c>
      <c r="AA194" s="1" t="s">
        <v>84</v>
      </c>
      <c r="AB194" s="7" t="n">
        <v>0</v>
      </c>
      <c r="AC194" s="2" t="n">
        <v>42640</v>
      </c>
      <c r="AD194" s="1" t="n">
        <v>54</v>
      </c>
      <c r="AE194" s="1" t="n">
        <v>27.48</v>
      </c>
      <c r="AF194" s="1" t="s">
        <v>77</v>
      </c>
      <c r="AG194" s="1" t="s">
        <v>78</v>
      </c>
      <c r="AH194" s="1" t="s">
        <v>112</v>
      </c>
      <c r="AI194" s="1" t="s">
        <v>86</v>
      </c>
      <c r="AJ194" s="1" t="s">
        <v>113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1</v>
      </c>
      <c r="AV194" s="1" t="n">
        <v>0</v>
      </c>
      <c r="AW194" s="1" t="n">
        <v>1</v>
      </c>
      <c r="AX194" s="1" t="n">
        <v>1</v>
      </c>
      <c r="AY194" s="1" t="n">
        <v>0</v>
      </c>
      <c r="AZ194" s="1" t="n">
        <v>0</v>
      </c>
      <c r="BA194" s="1" t="n">
        <v>1</v>
      </c>
      <c r="BB194" s="1" t="n">
        <v>0</v>
      </c>
      <c r="BC194" s="1" t="n">
        <v>0</v>
      </c>
      <c r="BD194" s="1" t="n">
        <v>0</v>
      </c>
      <c r="BE194" s="1" t="n">
        <v>1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</row>
    <row r="195" customFormat="false" ht="16.15" hidden="false" customHeight="false" outlineLevel="0" collapsed="false">
      <c r="A195" s="0" t="str">
        <f aca="false">_xlfn.CONCAT(E195, " ", D195)</f>
        <v>Mrs. Jennifer Becker </v>
      </c>
      <c r="B195" s="0" t="str">
        <f aca="false">LEFT(D195, SEARCH(" ",D195,1))</f>
        <v>Jennifer </v>
      </c>
      <c r="C195" s="5" t="str">
        <f aca="false">RIGHT(D195,LEN(D195)-SEARCH(" ",D195,1))</f>
        <v>Becker </v>
      </c>
      <c r="D195" s="1" t="s">
        <v>656</v>
      </c>
      <c r="E195" s="1" t="s">
        <v>154</v>
      </c>
      <c r="F195" s="1" t="s">
        <v>657</v>
      </c>
      <c r="G195" s="1" t="s">
        <v>658</v>
      </c>
      <c r="H195" s="1" t="s">
        <v>550</v>
      </c>
      <c r="I195" s="1" t="s">
        <v>145</v>
      </c>
      <c r="J195" s="1" t="n">
        <v>61701</v>
      </c>
      <c r="K195" s="1" t="n">
        <v>0</v>
      </c>
      <c r="M195" s="1" t="s">
        <v>659</v>
      </c>
      <c r="N195" s="1" t="s">
        <v>660</v>
      </c>
      <c r="O195" s="1" t="s">
        <v>237</v>
      </c>
      <c r="Q195" s="1" t="s">
        <v>558</v>
      </c>
      <c r="R195" s="1" t="s">
        <v>110</v>
      </c>
      <c r="S195" s="6" t="n">
        <v>169000000000000</v>
      </c>
      <c r="T195" s="6" t="n">
        <v>3528370000000000</v>
      </c>
      <c r="V195" s="1" t="n">
        <v>10351</v>
      </c>
      <c r="W195" s="1" t="n">
        <v>591</v>
      </c>
      <c r="X195" s="7" t="n">
        <v>0</v>
      </c>
      <c r="Y195" s="7" t="n">
        <v>0.0304930555555556</v>
      </c>
      <c r="Z195" s="1" t="n">
        <v>10.45</v>
      </c>
      <c r="AA195" s="1" t="s">
        <v>347</v>
      </c>
      <c r="AB195" s="7" t="n">
        <v>0</v>
      </c>
      <c r="AC195" s="2" t="n">
        <v>42665</v>
      </c>
      <c r="AD195" s="1" t="n">
        <v>24</v>
      </c>
      <c r="AE195" s="1" t="n">
        <v>165.72</v>
      </c>
      <c r="AF195" s="1" t="s">
        <v>77</v>
      </c>
      <c r="AG195" s="1" t="s">
        <v>78</v>
      </c>
      <c r="AH195" s="1" t="s">
        <v>79</v>
      </c>
      <c r="AI195" s="1" t="s">
        <v>102</v>
      </c>
      <c r="AJ195" s="1" t="s">
        <v>81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1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1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1</v>
      </c>
      <c r="BM195" s="1" t="n">
        <v>1</v>
      </c>
    </row>
    <row r="1048576" customFormat="false" ht="15" hidden="false" customHeight="false" outlineLevel="0" collapsed="false"/>
  </sheetData>
  <autoFilter ref="D1:BM195"/>
  <conditionalFormatting sqref="W2:W1048576">
    <cfRule type="duplicateValues" priority="2" aboveAverage="0" equalAverage="0" bottom="0" percent="0" rank="0" text="" dxfId="2"/>
  </conditionalFormatting>
  <conditionalFormatting sqref="W1">
    <cfRule type="duplicateValues" priority="3" aboveAverage="0" equalAverage="0" bottom="0" percent="0" rank="0" text="" dxfId="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2020-07-06T10:10:33Z</dcterms:created>
  <dc:creator/>
  <dc:description/>
  <dc:language>en-CA</dc:language>
  <cp:lastModifiedBy/>
  <dcterms:modified xsi:type="dcterms:W3CDTF">2025-12-07T11:10:06Z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