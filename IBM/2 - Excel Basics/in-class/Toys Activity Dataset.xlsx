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 3" sheetId="1" state="visible" r:id="rId3"/>
    <sheet name="Pivot Table_Group 3_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<sst xmlns="http://schemas.openxmlformats.org/spreadsheetml/2006/main" count="49" uniqueCount="34">
  <si>
    <t xml:space="preserve">Today’s Offer</t>
  </si>
  <si>
    <t xml:space="preserve">Toys Activity Dataset</t>
  </si>
  <si>
    <t xml:space="preserve">Category</t>
  </si>
  <si>
    <t xml:space="preserve">Toys Ordered</t>
  </si>
  <si>
    <t xml:space="preserve">Price Each</t>
  </si>
  <si>
    <t xml:space="preserve">Q. Ordered</t>
  </si>
  <si>
    <t xml:space="preserve">Cost</t>
  </si>
  <si>
    <t xml:space="preserve">Discount</t>
  </si>
  <si>
    <t xml:space="preserve">Final Cost</t>
  </si>
  <si>
    <t xml:space="preserve">Offer</t>
  </si>
  <si>
    <t xml:space="preserve">Dolls</t>
  </si>
  <si>
    <t xml:space="preserve">BBQ Barbie Doll</t>
  </si>
  <si>
    <t xml:space="preserve">Prince Eric Doll</t>
  </si>
  <si>
    <t xml:space="preserve">Princess Jasmine Doll</t>
  </si>
  <si>
    <t xml:space="preserve">Action figures</t>
  </si>
  <si>
    <t xml:space="preserve">BatMan</t>
  </si>
  <si>
    <t xml:space="preserve">Spiderman </t>
  </si>
  <si>
    <t xml:space="preserve">Educational Toys</t>
  </si>
  <si>
    <t xml:space="preserve">Robot Kit</t>
  </si>
  <si>
    <t xml:space="preserve">Creative toys</t>
  </si>
  <si>
    <t xml:space="preserve">Spirograph</t>
  </si>
  <si>
    <t xml:space="preserve">Lego</t>
  </si>
  <si>
    <t xml:space="preserve">Speak and Spell</t>
  </si>
  <si>
    <t xml:space="preserve">Electronic Toys</t>
  </si>
  <si>
    <t xml:space="preserve">Digital Pet</t>
  </si>
  <si>
    <t xml:space="preserve">Robot</t>
  </si>
  <si>
    <t xml:space="preserve">Games</t>
  </si>
  <si>
    <t xml:space="preserve">PS5</t>
  </si>
  <si>
    <t xml:space="preserve">Xbox</t>
  </si>
  <si>
    <t xml:space="preserve">Stickers</t>
  </si>
  <si>
    <t xml:space="preserve">Data</t>
  </si>
  <si>
    <t xml:space="preserve">Sum - Q. Ordered</t>
  </si>
  <si>
    <t xml:space="preserve">Sum - Final Cost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</si>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</sst>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[$£-809]#,##0.00;[RED]\-[$£-809]#,##0.00"/>
    <numFmt numFmtId="167" formatCode="[$£-809]#,##0;[RED]\-[$£-809]#,##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18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0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  <cellStyle name="Heading 1" xfId="26"/>
  </cellStyles>
  <dxfs count="1">
    <dxf>
      <font>
        <name val="Calibri"/>
        <charset val="1"/>
        <family val="0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" createdVersion="3">
  <cacheSource type="worksheet">
    <worksheetSource ref="A5:G19" sheet="Group 3"/>
  </cacheSource>
  <cacheFields count="7">
    <cacheField name="Category" numFmtId="0">
      <sharedItems count="6">
        <s v="Action figures"/>
        <s v="Creative toys"/>
        <s v="Dolls"/>
        <s v="Educational Toys"/>
        <s v="Electronic Toys"/>
        <s v="Games"/>
      </sharedItems>
    </cacheField>
    <cacheField name="Toys Ordered" numFmtId="0">
      <sharedItems count="14">
        <s v="BatMan"/>
        <s v="BBQ Barbie Doll"/>
        <s v="Digital Pet"/>
        <s v="Lego"/>
        <s v="Prince Eric Doll"/>
        <s v="Princess Jasmine Doll"/>
        <s v="PS5"/>
        <s v="Robot"/>
        <s v="Robot Kit"/>
        <s v="Speak and Spell"/>
        <s v="Spiderman "/>
        <s v="Spirograph"/>
        <s v="Stickers"/>
        <s v="Xbox"/>
      </sharedItems>
    </cacheField>
    <cacheField name="Price Each" numFmtId="0">
      <sharedItems containsSemiMixedTypes="0" containsString="0" containsNumber="1" minValue="8.99" maxValue="400" count="13">
        <n v="8.99"/>
        <n v="9.99"/>
        <n v="10.5"/>
        <n v="12.5"/>
        <n v="12.99"/>
        <n v="14.99"/>
        <n v="19.99"/>
        <n v="30.5"/>
        <n v="34.5"/>
        <n v="50"/>
        <n v="60.5"/>
        <n v="350"/>
        <n v="400"/>
      </sharedItems>
    </cacheField>
    <cacheField name="Q. Ordered" numFmtId="0">
      <sharedItems containsSemiMixedTypes="0" containsString="0" containsNumber="1" containsInteger="1" minValue="1" maxValue="19" count="9">
        <n v="1"/>
        <n v="2"/>
        <n v="3"/>
        <n v="5"/>
        <n v="6"/>
        <n v="8"/>
        <n v="10"/>
        <n v="11"/>
        <n v="19"/>
      </sharedItems>
    </cacheField>
    <cacheField name="Cost" numFmtId="0">
      <sharedItems containsSemiMixedTypes="0" containsString="0" containsNumber="1" minValue="25" maxValue="2400" count="14">
        <n v="25"/>
        <n v="25.98"/>
        <n v="26.97"/>
        <n v="30.5"/>
        <n v="63"/>
        <n v="99.9"/>
        <n v="99.95"/>
        <n v="119.92"/>
        <n v="219.89"/>
        <n v="276"/>
        <n v="302.5"/>
        <n v="950"/>
        <n v="1750"/>
        <n v="2400"/>
      </sharedItems>
    </cacheField>
    <cacheField name="Discount" numFmtId="0">
      <sharedItems containsSemiMixedTypes="0" containsString="0" containsNumber="1" minValue="-120" maxValue="-0" count="11">
        <n v="-120"/>
        <n v="-95"/>
        <n v="-87.5"/>
        <n v="-27.6"/>
        <n v="-21.989"/>
        <n v="-15.125"/>
        <n v="-11.992"/>
        <n v="-9.99"/>
        <n v="-4.9975"/>
        <n v="-3.15"/>
        <n v="-0"/>
      </sharedItems>
    </cacheField>
    <cacheField name="Final Cost" numFmtId="0">
      <sharedItems containsSemiMixedTypes="0" containsString="0" containsNumber="1" minValue="25" maxValue="2280" count="14">
        <n v="25"/>
        <n v="25.98"/>
        <n v="26.97"/>
        <n v="30.5"/>
        <n v="59.85"/>
        <n v="89.91"/>
        <n v="94.9525"/>
        <n v="107.928"/>
        <n v="197.901"/>
        <n v="248.4"/>
        <n v="287.375"/>
        <n v="855"/>
        <n v="1662.5"/>
        <n v="228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2"/>
    <x v="1"/>
    <x v="4"/>
    <x v="1"/>
    <x v="1"/>
    <x v="10"/>
    <x v="1"/>
  </r>
  <r>
    <x v="2"/>
    <x v="4"/>
    <x v="0"/>
    <x v="2"/>
    <x v="2"/>
    <x v="10"/>
    <x v="2"/>
  </r>
  <r>
    <x v="2"/>
    <x v="5"/>
    <x v="1"/>
    <x v="6"/>
    <x v="5"/>
    <x v="7"/>
    <x v="5"/>
  </r>
  <r>
    <x v="0"/>
    <x v="0"/>
    <x v="6"/>
    <x v="3"/>
    <x v="6"/>
    <x v="8"/>
    <x v="6"/>
  </r>
  <r>
    <x v="0"/>
    <x v="10"/>
    <x v="5"/>
    <x v="5"/>
    <x v="7"/>
    <x v="6"/>
    <x v="7"/>
  </r>
  <r>
    <x v="3"/>
    <x v="8"/>
    <x v="3"/>
    <x v="1"/>
    <x v="0"/>
    <x v="10"/>
    <x v="0"/>
  </r>
  <r>
    <x v="1"/>
    <x v="11"/>
    <x v="10"/>
    <x v="3"/>
    <x v="10"/>
    <x v="5"/>
    <x v="10"/>
  </r>
  <r>
    <x v="1"/>
    <x v="3"/>
    <x v="7"/>
    <x v="0"/>
    <x v="3"/>
    <x v="10"/>
    <x v="3"/>
  </r>
  <r>
    <x v="3"/>
    <x v="9"/>
    <x v="2"/>
    <x v="4"/>
    <x v="4"/>
    <x v="9"/>
    <x v="4"/>
  </r>
  <r>
    <x v="4"/>
    <x v="2"/>
    <x v="8"/>
    <x v="5"/>
    <x v="9"/>
    <x v="3"/>
    <x v="9"/>
  </r>
  <r>
    <x v="3"/>
    <x v="7"/>
    <x v="9"/>
    <x v="8"/>
    <x v="11"/>
    <x v="1"/>
    <x v="11"/>
  </r>
  <r>
    <x v="5"/>
    <x v="6"/>
    <x v="11"/>
    <x v="3"/>
    <x v="12"/>
    <x v="2"/>
    <x v="12"/>
  </r>
  <r>
    <x v="5"/>
    <x v="13"/>
    <x v="12"/>
    <x v="4"/>
    <x v="13"/>
    <x v="0"/>
    <x v="13"/>
  </r>
  <r>
    <x v="1"/>
    <x v="12"/>
    <x v="6"/>
    <x v="7"/>
    <x v="8"/>
    <x v="4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9" firstHeaderRow="1" firstDataRow="2" firstDataCol="1"/>
  <pivotFields count="7"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dataField="1" compact="0" showAll="0" outline="0"/>
  </pivotFields>
  <rowFields count="1">
    <field x="0"/>
  </rowFields>
  <rowItems count="7">
    <i>
      <x v="0"/>
    </i>
    <i>
      <x v="1"/>
    </i>
    <i>
      <x v="2"/>
    </i>
    <i>
      <x v="3"/>
    </i>
    <i>
      <x v="4"/>
    </i>
    <i>
      <x v="5"/>
    </i>
    <i t="grand">
      <x v="6"/>
    </i>
  </rowItems>
  <colFields count="1">
    <field x="-2"/>
  </colFields>
  <colItems count="1">
    <i t="grand">
      <x v="0"/>
    </i>
  </colItems>
  <dataFields count="2">
    <dataField name="Sum - Q. Ordered" fld="3" subtotal="sum" numFmtId="164"/>
    <dataField name="Sum - Final Cost" fld="6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"/>
  <sheetViews>
    <sheetView showFormulas="false" showGridLines="true" showRowColHeaders="true" showZeros="true" rightToLeft="false" tabSelected="true" showOutlineSymbols="true" defaultGridColor="true" view="normal" topLeftCell="C5" colorId="64" zoomScale="100" zoomScaleNormal="100" zoomScalePageLayoutView="100" workbookViewId="0">
      <selection pane="topLeft" activeCell="D27" activeCellId="0" sqref="D27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25.14"/>
    <col collapsed="false" customWidth="true" hidden="false" outlineLevel="0" max="3" min="3" style="1" width="16.71"/>
    <col collapsed="false" customWidth="true" hidden="false" outlineLevel="0" max="4" min="4" style="1" width="17.14"/>
    <col collapsed="false" customWidth="true" hidden="false" outlineLevel="0" max="5" min="5" style="1" width="14.14"/>
    <col collapsed="false" customWidth="true" hidden="false" outlineLevel="0" max="6" min="6" style="1" width="14.57"/>
    <col collapsed="false" customWidth="true" hidden="false" outlineLevel="0" max="7" min="7" style="1" width="13.14"/>
    <col collapsed="false" customWidth="true" hidden="false" outlineLevel="0" max="8" min="8" style="0" width="8.71"/>
    <col collapsed="false" customWidth="true" hidden="false" outlineLevel="0" max="26" min="9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0" t="s">
        <v>0</v>
      </c>
      <c r="B1" s="2" t="n">
        <v>0.5</v>
      </c>
      <c r="C1" s="0"/>
      <c r="D1" s="0"/>
      <c r="E1" s="0"/>
      <c r="F1" s="0"/>
      <c r="G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5" hidden="false" customHeight="false" outlineLevel="0" collapsed="false">
      <c r="A2" s="0"/>
      <c r="B2" s="2"/>
      <c r="C2" s="0"/>
      <c r="D2" s="0"/>
      <c r="E2" s="0"/>
      <c r="F2" s="0"/>
      <c r="G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22.0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1" t="s">
        <v>9</v>
      </c>
    </row>
    <row r="6" customFormat="false" ht="15" hidden="false" customHeight="false" outlineLevel="0" collapsed="false">
      <c r="A6" s="5" t="s">
        <v>10</v>
      </c>
      <c r="B6" s="4" t="s">
        <v>11</v>
      </c>
      <c r="C6" s="4" t="n">
        <v>12.99</v>
      </c>
      <c r="D6" s="4" t="n">
        <v>2</v>
      </c>
      <c r="E6" s="6" t="n">
        <f aca="false">D6*C6</f>
        <v>25.98</v>
      </c>
      <c r="F6" s="7" t="n">
        <f aca="false">E6*_xlfn.IFS(D6&gt;7, 0.1, D6&gt;4, 0.05, 1, 0)*-1</f>
        <v>-0</v>
      </c>
      <c r="G6" s="7" t="n">
        <f aca="false">SUM(E6:F6)</f>
        <v>25.98</v>
      </c>
      <c r="H6" s="8" t="n">
        <f aca="false">_xlfn.IFS(D6&gt;10, $B$1, 1, 1)*G6</f>
        <v>25.98</v>
      </c>
    </row>
    <row r="7" customFormat="false" ht="15" hidden="false" customHeight="false" outlineLevel="0" collapsed="false">
      <c r="A7" s="5" t="s">
        <v>10</v>
      </c>
      <c r="B7" s="4" t="s">
        <v>12</v>
      </c>
      <c r="C7" s="4" t="n">
        <v>8.99</v>
      </c>
      <c r="D7" s="4" t="n">
        <v>3</v>
      </c>
      <c r="E7" s="6" t="n">
        <f aca="false">D7*C7</f>
        <v>26.97</v>
      </c>
      <c r="F7" s="7" t="n">
        <f aca="false">E7*_xlfn.IFS(D7&gt;7, 0.1, D7&gt;4, 0.05, 1, 0)*-1</f>
        <v>-0</v>
      </c>
      <c r="G7" s="7" t="n">
        <f aca="false">SUM(E7:F7)</f>
        <v>26.97</v>
      </c>
      <c r="H7" s="8" t="n">
        <f aca="false">_xlfn.IFS(D7&gt;10, $B$1, 1, 1)*G7</f>
        <v>26.97</v>
      </c>
    </row>
    <row r="8" customFormat="false" ht="15" hidden="false" customHeight="false" outlineLevel="0" collapsed="false">
      <c r="A8" s="5" t="s">
        <v>10</v>
      </c>
      <c r="B8" s="4" t="s">
        <v>13</v>
      </c>
      <c r="C8" s="4" t="n">
        <v>9.99</v>
      </c>
      <c r="D8" s="4" t="n">
        <v>10</v>
      </c>
      <c r="E8" s="6" t="n">
        <f aca="false">D8*C8</f>
        <v>99.9</v>
      </c>
      <c r="F8" s="7" t="n">
        <f aca="false">E8*_xlfn.IFS(D8&gt;7, 0.1, D8&gt;4, 0.05, 1, 0)*-1</f>
        <v>-9.99</v>
      </c>
      <c r="G8" s="7" t="n">
        <f aca="false">SUM(E8:F8)</f>
        <v>89.91</v>
      </c>
      <c r="H8" s="8" t="n">
        <f aca="false">_xlfn.IFS(D8&gt;10, $B$1, 1, 1)*G8</f>
        <v>89.91</v>
      </c>
    </row>
    <row r="9" customFormat="false" ht="15" hidden="false" customHeight="false" outlineLevel="0" collapsed="false">
      <c r="A9" s="5" t="s">
        <v>14</v>
      </c>
      <c r="B9" s="4" t="s">
        <v>15</v>
      </c>
      <c r="C9" s="4" t="n">
        <v>19.99</v>
      </c>
      <c r="D9" s="4" t="n">
        <v>5</v>
      </c>
      <c r="E9" s="6" t="n">
        <f aca="false">D9*C9</f>
        <v>99.95</v>
      </c>
      <c r="F9" s="7" t="n">
        <f aca="false">E9*_xlfn.IFS(D9&gt;7, 0.1, D9&gt;4, 0.05, 1, 0)*-1</f>
        <v>-4.9975</v>
      </c>
      <c r="G9" s="7" t="n">
        <f aca="false">SUM(E9:F9)</f>
        <v>94.9525</v>
      </c>
      <c r="H9" s="8" t="n">
        <f aca="false">_xlfn.IFS(D9&gt;10, $B$1, 1, 1)*G9</f>
        <v>94.9525</v>
      </c>
    </row>
    <row r="10" customFormat="false" ht="15" hidden="false" customHeight="false" outlineLevel="0" collapsed="false">
      <c r="A10" s="5" t="s">
        <v>14</v>
      </c>
      <c r="B10" s="4" t="s">
        <v>16</v>
      </c>
      <c r="C10" s="4" t="n">
        <v>14.99</v>
      </c>
      <c r="D10" s="4" t="n">
        <v>8</v>
      </c>
      <c r="E10" s="6" t="n">
        <f aca="false">D10*C10</f>
        <v>119.92</v>
      </c>
      <c r="F10" s="7" t="n">
        <f aca="false">E10*_xlfn.IFS(D10&gt;7, 0.1, D10&gt;4, 0.05, 1, 0)*-1</f>
        <v>-11.992</v>
      </c>
      <c r="G10" s="7" t="n">
        <f aca="false">SUM(E10:F10)</f>
        <v>107.928</v>
      </c>
      <c r="H10" s="8" t="n">
        <f aca="false">_xlfn.IFS(D10&gt;10, $B$1, 1, 1)*G10</f>
        <v>107.928</v>
      </c>
    </row>
    <row r="11" customFormat="false" ht="15" hidden="false" customHeight="false" outlineLevel="0" collapsed="false">
      <c r="A11" s="5" t="s">
        <v>17</v>
      </c>
      <c r="B11" s="4" t="s">
        <v>18</v>
      </c>
      <c r="C11" s="4" t="n">
        <v>12.5</v>
      </c>
      <c r="D11" s="4" t="n">
        <v>2</v>
      </c>
      <c r="E11" s="6" t="n">
        <f aca="false">D11*C11</f>
        <v>25</v>
      </c>
      <c r="F11" s="7" t="n">
        <f aca="false">E11*_xlfn.IFS(D11&gt;7, 0.1, D11&gt;4, 0.05, 1, 0)*-1</f>
        <v>-0</v>
      </c>
      <c r="G11" s="7" t="n">
        <f aca="false">SUM(E11:F11)</f>
        <v>25</v>
      </c>
      <c r="H11" s="8" t="n">
        <f aca="false">_xlfn.IFS(D11&gt;10, $B$1, 1, 1)*G11</f>
        <v>25</v>
      </c>
    </row>
    <row r="12" customFormat="false" ht="15" hidden="false" customHeight="false" outlineLevel="0" collapsed="false">
      <c r="A12" s="5" t="s">
        <v>19</v>
      </c>
      <c r="B12" s="4" t="s">
        <v>20</v>
      </c>
      <c r="C12" s="4" t="n">
        <v>60.5</v>
      </c>
      <c r="D12" s="4" t="n">
        <v>5</v>
      </c>
      <c r="E12" s="6" t="n">
        <f aca="false">D12*C12</f>
        <v>302.5</v>
      </c>
      <c r="F12" s="7" t="n">
        <f aca="false">E12*_xlfn.IFS(D12&gt;7, 0.1, D12&gt;4, 0.05, 1, 0)*-1</f>
        <v>-15.125</v>
      </c>
      <c r="G12" s="7" t="n">
        <f aca="false">SUM(E12:F12)</f>
        <v>287.375</v>
      </c>
      <c r="H12" s="8" t="n">
        <f aca="false">_xlfn.IFS(D12&gt;10, $B$1, 1, 1)*G12</f>
        <v>287.375</v>
      </c>
    </row>
    <row r="13" customFormat="false" ht="15" hidden="false" customHeight="false" outlineLevel="0" collapsed="false">
      <c r="A13" s="5" t="s">
        <v>19</v>
      </c>
      <c r="B13" s="4" t="s">
        <v>21</v>
      </c>
      <c r="C13" s="4" t="n">
        <v>30.5</v>
      </c>
      <c r="D13" s="4" t="n">
        <v>1</v>
      </c>
      <c r="E13" s="6" t="n">
        <f aca="false">D13*C13</f>
        <v>30.5</v>
      </c>
      <c r="F13" s="7" t="n">
        <f aca="false">E13*_xlfn.IFS(D13&gt;7, 0.1, D13&gt;4, 0.05, 1, 0)*-1</f>
        <v>-0</v>
      </c>
      <c r="G13" s="7" t="n">
        <f aca="false">SUM(E13:F13)</f>
        <v>30.5</v>
      </c>
      <c r="H13" s="8" t="n">
        <f aca="false">_xlfn.IFS(D13&gt;10, $B$1, 1, 1)*G13</f>
        <v>30.5</v>
      </c>
    </row>
    <row r="14" customFormat="false" ht="15" hidden="false" customHeight="false" outlineLevel="0" collapsed="false">
      <c r="A14" s="5" t="s">
        <v>17</v>
      </c>
      <c r="B14" s="4" t="s">
        <v>22</v>
      </c>
      <c r="C14" s="4" t="n">
        <v>10.5</v>
      </c>
      <c r="D14" s="4" t="n">
        <v>6</v>
      </c>
      <c r="E14" s="6" t="n">
        <f aca="false">D14*C14</f>
        <v>63</v>
      </c>
      <c r="F14" s="7" t="n">
        <f aca="false">E14*_xlfn.IFS(D14&gt;7, 0.1, D14&gt;4, 0.05, 1, 0)*-1</f>
        <v>-3.15</v>
      </c>
      <c r="G14" s="7" t="n">
        <f aca="false">SUM(E14:F14)</f>
        <v>59.85</v>
      </c>
      <c r="H14" s="8" t="n">
        <f aca="false">_xlfn.IFS(D14&gt;10, $B$1, 1, 1)*G14</f>
        <v>59.85</v>
      </c>
    </row>
    <row r="15" customFormat="false" ht="15" hidden="false" customHeight="false" outlineLevel="0" collapsed="false">
      <c r="A15" s="5" t="s">
        <v>23</v>
      </c>
      <c r="B15" s="4" t="s">
        <v>24</v>
      </c>
      <c r="C15" s="4" t="n">
        <v>34.5</v>
      </c>
      <c r="D15" s="4" t="n">
        <v>8</v>
      </c>
      <c r="E15" s="6" t="n">
        <f aca="false">D15*C15</f>
        <v>276</v>
      </c>
      <c r="F15" s="7" t="n">
        <f aca="false">E15*_xlfn.IFS(D15&gt;7, 0.1, D15&gt;4, 0.05, 1, 0)*-1</f>
        <v>-27.6</v>
      </c>
      <c r="G15" s="7" t="n">
        <f aca="false">SUM(E15:F15)</f>
        <v>248.4</v>
      </c>
      <c r="H15" s="8" t="n">
        <f aca="false">_xlfn.IFS(D15&gt;10, $B$1, 1, 1)*G15</f>
        <v>248.4</v>
      </c>
    </row>
    <row r="16" customFormat="false" ht="15" hidden="false" customHeight="false" outlineLevel="0" collapsed="false">
      <c r="A16" s="5" t="s">
        <v>17</v>
      </c>
      <c r="B16" s="4" t="s">
        <v>25</v>
      </c>
      <c r="C16" s="4" t="n">
        <v>50</v>
      </c>
      <c r="D16" s="4" t="n">
        <v>19</v>
      </c>
      <c r="E16" s="6" t="n">
        <f aca="false">D16*C16</f>
        <v>950</v>
      </c>
      <c r="F16" s="7" t="n">
        <f aca="false">E16*_xlfn.IFS(D16&gt;7, 0.1, D16&gt;4, 0.05, 1, 0)*-1</f>
        <v>-95</v>
      </c>
      <c r="G16" s="7" t="n">
        <f aca="false">SUM(E16:F16)</f>
        <v>855</v>
      </c>
      <c r="H16" s="8" t="n">
        <f aca="false">_xlfn.IFS(D16&gt;10, $B$1, 1, 1)*G16</f>
        <v>427.5</v>
      </c>
    </row>
    <row r="17" customFormat="false" ht="15" hidden="false" customHeight="false" outlineLevel="0" collapsed="false">
      <c r="A17" s="5" t="s">
        <v>26</v>
      </c>
      <c r="B17" s="4" t="s">
        <v>27</v>
      </c>
      <c r="C17" s="4" t="n">
        <v>350</v>
      </c>
      <c r="D17" s="4" t="n">
        <v>5</v>
      </c>
      <c r="E17" s="6" t="n">
        <f aca="false">D17*C17</f>
        <v>1750</v>
      </c>
      <c r="F17" s="7" t="n">
        <f aca="false">E17*_xlfn.IFS(D17&gt;7, 0.1, D17&gt;4, 0.05, 1, 0)*-1</f>
        <v>-87.5</v>
      </c>
      <c r="G17" s="7" t="n">
        <f aca="false">SUM(E17:F17)</f>
        <v>1662.5</v>
      </c>
      <c r="H17" s="8" t="n">
        <f aca="false">_xlfn.IFS(D17&gt;10, $B$1, 1, 1)*G17</f>
        <v>1662.5</v>
      </c>
    </row>
    <row r="18" customFormat="false" ht="15" hidden="false" customHeight="false" outlineLevel="0" collapsed="false">
      <c r="A18" s="5" t="s">
        <v>26</v>
      </c>
      <c r="B18" s="4" t="s">
        <v>28</v>
      </c>
      <c r="C18" s="4" t="n">
        <v>400</v>
      </c>
      <c r="D18" s="4" t="n">
        <v>6</v>
      </c>
      <c r="E18" s="6" t="n">
        <f aca="false">D18*C18</f>
        <v>2400</v>
      </c>
      <c r="F18" s="7" t="n">
        <f aca="false">E18*_xlfn.IFS(D18&gt;7, 0.1, D18&gt;4, 0.05, 1, 0)*-1</f>
        <v>-120</v>
      </c>
      <c r="G18" s="7" t="n">
        <f aca="false">SUM(E18:F18)</f>
        <v>2280</v>
      </c>
      <c r="H18" s="8" t="n">
        <f aca="false">_xlfn.IFS(D18&gt;10, $B$1, 1, 1)*G18</f>
        <v>2280</v>
      </c>
    </row>
    <row r="19" customFormat="false" ht="15" hidden="false" customHeight="false" outlineLevel="0" collapsed="false">
      <c r="A19" s="5" t="s">
        <v>19</v>
      </c>
      <c r="B19" s="4" t="s">
        <v>29</v>
      </c>
      <c r="C19" s="4" t="n">
        <v>19.99</v>
      </c>
      <c r="D19" s="4" t="n">
        <v>11</v>
      </c>
      <c r="E19" s="6" t="n">
        <f aca="false">D19*C19</f>
        <v>219.89</v>
      </c>
      <c r="F19" s="7" t="n">
        <f aca="false">E19*_xlfn.IFS(D19&gt;7, 0.1, D19&gt;4, 0.05, 1, 0)*-1</f>
        <v>-21.989</v>
      </c>
      <c r="G19" s="7" t="n">
        <f aca="false">SUM(E19:F19)</f>
        <v>197.901</v>
      </c>
      <c r="H19" s="8" t="n">
        <f aca="false">_xlfn.IFS(D19&gt;10, $B$1, 1, 1)*G19</f>
        <v>98.9505</v>
      </c>
    </row>
  </sheetData>
  <mergeCells count="1"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14.73"/>
    <col collapsed="false" customWidth="true" hidden="false" outlineLevel="0" max="2" min="2" style="0" width="15.37"/>
    <col collapsed="false" customWidth="true" hidden="false" outlineLevel="0" max="3" min="3" style="0" width="14.02"/>
  </cols>
  <sheetData>
    <row r="1" customFormat="false" ht="12.8" hidden="false" customHeight="false" outlineLevel="0" collapsed="false">
      <c r="A1" s="9"/>
      <c r="B1" s="10" t="s">
        <v>30</v>
      </c>
      <c r="C1" s="11"/>
    </row>
    <row r="2" customFormat="false" ht="12.8" hidden="false" customHeight="false" outlineLevel="0" collapsed="false">
      <c r="A2" s="12" t="s">
        <v>2</v>
      </c>
      <c r="B2" s="13" t="s">
        <v>31</v>
      </c>
      <c r="C2" s="14" t="s">
        <v>32</v>
      </c>
    </row>
    <row r="3" customFormat="false" ht="12.8" hidden="false" customHeight="false" outlineLevel="0" collapsed="false">
      <c r="A3" s="15" t="s">
        <v>14</v>
      </c>
      <c r="B3" s="16" t="n">
        <v>13</v>
      </c>
      <c r="C3" s="17" t="n">
        <v>202.8805</v>
      </c>
    </row>
    <row r="4" customFormat="false" ht="12.8" hidden="false" customHeight="false" outlineLevel="0" collapsed="false">
      <c r="A4" s="18" t="s">
        <v>19</v>
      </c>
      <c r="B4" s="19" t="n">
        <v>17</v>
      </c>
      <c r="C4" s="20" t="n">
        <v>515.776</v>
      </c>
    </row>
    <row r="5" customFormat="false" ht="12.8" hidden="false" customHeight="false" outlineLevel="0" collapsed="false">
      <c r="A5" s="18" t="s">
        <v>10</v>
      </c>
      <c r="B5" s="19" t="n">
        <v>15</v>
      </c>
      <c r="C5" s="20" t="n">
        <v>142.86</v>
      </c>
    </row>
    <row r="6" customFormat="false" ht="12.8" hidden="false" customHeight="false" outlineLevel="0" collapsed="false">
      <c r="A6" s="18" t="s">
        <v>17</v>
      </c>
      <c r="B6" s="19" t="n">
        <v>27</v>
      </c>
      <c r="C6" s="20" t="n">
        <v>939.85</v>
      </c>
    </row>
    <row r="7" customFormat="false" ht="12.8" hidden="false" customHeight="false" outlineLevel="0" collapsed="false">
      <c r="A7" s="18" t="s">
        <v>23</v>
      </c>
      <c r="B7" s="19" t="n">
        <v>8</v>
      </c>
      <c r="C7" s="20" t="n">
        <v>248.4</v>
      </c>
    </row>
    <row r="8" customFormat="false" ht="12.8" hidden="false" customHeight="false" outlineLevel="0" collapsed="false">
      <c r="A8" s="18" t="s">
        <v>26</v>
      </c>
      <c r="B8" s="21" t="n">
        <v>11</v>
      </c>
      <c r="C8" s="22" t="n">
        <v>3942.5</v>
      </c>
    </row>
    <row r="9" customFormat="false" ht="12.8" hidden="false" customHeight="false" outlineLevel="0" collapsed="false">
      <c r="A9" s="23" t="s">
        <v>33</v>
      </c>
      <c r="B9" s="24" t="n">
        <v>91</v>
      </c>
      <c r="C9" s="25" t="n">
        <v>5992.2665</v>
      </c>
    </row>
  </sheetData>
  <conditionalFormatting sqref="C3:C8">
    <cfRule type="cellIs" priority="2" operator="greaterThan" aboveAverage="0" equalAverage="0" bottom="0" percent="0" rank="0" text="" dxfId="0">
      <formula>80</formula>
    </cfRule>
  </conditionalFormatting>
  <conditionalFormatting sqref="B3:B8">
    <cfRule type="cellIs" priority="3" operator="greaterThan" aboveAverage="0" equalAverage="0" bottom="0" percent="0" rank="0" text="" dxfId="0">
      <formula>10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2021-06-08T14:42:39Z</dcterms:created>
  <dc:creator>Geetu</dc:creator>
  <dc:description/>
  <dc:language>en-CA</dc:language>
  <cp:lastModifiedBy/>
  <dcterms:modified xsi:type="dcterms:W3CDTF">2025-12-10T14:18:18Z</dcterms:modified>
  <cp:revision>3</cp:revision>
  <dc:subject/>
  <dc:title/>
</cp:coreProperties>
</file>