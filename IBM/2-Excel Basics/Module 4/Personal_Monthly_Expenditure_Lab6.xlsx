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- 2018" sheetId="1" state="visible" r:id="rId3"/>
    <sheet name="Expense - 201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<sst xmlns="http://schemas.openxmlformats.org/spreadsheetml/2006/main" count="36" uniqueCount="30">
  <si>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Month</t>
  </si>
  <si>
    <t xml:space="preserve">Housing</t>
  </si>
  <si>
    <t xml:space="preserve">Bills &amp; Utilities</t>
  </si>
  <si>
    <t xml:space="preserve">Food &amp; Dining</t>
  </si>
  <si>
    <t xml:space="preserve">Personal</t>
  </si>
  <si>
    <t xml:space="preserve">Auto &amp; Transport</t>
  </si>
  <si>
    <t xml:space="preserve">Health &amp; Fitness</t>
  </si>
  <si>
    <t xml:space="preserve">Monthly Total</t>
  </si>
  <si>
    <t xml:space="preserve">Jan</t>
  </si>
  <si>
    <t xml:space="preserve">HLOOKUP</t>
  </si>
  <si>
    <t xml:space="preserve">Feb</t>
  </si>
  <si>
    <t xml:space="preserve">Sep</t>
  </si>
  <si>
    <t xml:space="preserve">Mar</t>
  </si>
  <si>
    <t xml:space="preserve">Oct</t>
  </si>
  <si>
    <t xml:space="preserve">Apr</t>
  </si>
  <si>
    <t xml:space="preserve">Nov</t>
  </si>
  <si>
    <t xml:space="preserve">May</t>
  </si>
  <si>
    <t xml:space="preserve">Jun</t>
  </si>
  <si>
    <t xml:space="preserve">Jul</t>
  </si>
  <si>
    <t xml:space="preserve">Aug</t>
  </si>
  <si>
    <t xml:space="preserve">Dec</t>
  </si>
  <si>
    <t xml:space="preserve">Totals</t>
  </si>
  <si>
    <t xml:space="preserve">Avg</t>
  </si>
  <si>
    <t xml:space="preserve">Min</t>
  </si>
  <si>
    <t xml:space="preserve">Max</t>
  </si>
  <si>
    <t xml:space="preserve"> Count</t>
  </si>
  <si>
    <t xml:space="preserve">Median</t>
  </si>
  <si>
    <t xml:space="preserve">Relative</t>
  </si>
  <si>
    <t xml:space="preserve">Absolute</t>
  </si>
  <si>
    <t xml:space="preserve">Mixed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</si>
</sst>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[$$-409]* #,##0.00_);_([$$-409]* \(#,##0.00\);_([$$-409]* \-??_);_(@_)"/>
    <numFmt numFmtId="166" formatCode="0.00"/>
    <numFmt numFmtId="167" formatCode="[$$-1009]#,##0.00;[RED]\-[$$-1009]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6" displayName="Table6" ref="A1:H14" headerRowCount="1" totalsRowCount="0" totalsRowShown="0">
  <autoFilter ref="A1:H14"/>
  <tableColumns count="8">
    <tableColumn id="1" name="Month"/>
    <tableColumn id="2" name="Housing"/>
    <tableColumn id="3" name="Bills &amp; Utilities"/>
    <tableColumn id="4" name="Food &amp; Dining"/>
    <tableColumn id="5" name="Personal"/>
    <tableColumn id="6" name="Auto &amp; Transport"/>
    <tableColumn id="7" name="Health &amp; Fitness"/>
    <tableColumn id="8" name="Monthly Tot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7" activeCellId="0" sqref="L7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1" width="11.5"/>
    <col collapsed="false" customWidth="true" hidden="false" outlineLevel="0" max="3" min="3" style="1" width="17.66"/>
    <col collapsed="false" customWidth="true" hidden="false" outlineLevel="0" max="4" min="4" style="1" width="17"/>
    <col collapsed="false" customWidth="true" hidden="false" outlineLevel="0" max="5" min="5" style="1" width="12"/>
    <col collapsed="false" customWidth="true" hidden="false" outlineLevel="0" max="6" min="6" style="1" width="19.67"/>
    <col collapsed="false" customWidth="true" hidden="false" outlineLevel="0" max="7" min="7" style="1" width="19"/>
    <col collapsed="false" customWidth="true" hidden="false" outlineLevel="0" max="8" min="8" style="2" width="16"/>
    <col collapsed="false" customWidth="true" hidden="false" outlineLevel="0" max="12" min="12" style="0" width="12.72"/>
    <col collapsed="false" customWidth="true" hidden="false" outlineLevel="0" max="13" min="13" style="0" width="14.13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/>
      <c r="J1" s="6"/>
      <c r="K1" s="6"/>
      <c r="L1" s="6"/>
      <c r="M1" s="6"/>
    </row>
    <row r="2" customFormat="false" ht="15" hidden="false" customHeight="false" outlineLevel="0" collapsed="false">
      <c r="A2" s="7" t="s">
        <v>8</v>
      </c>
      <c r="B2" s="8" t="n">
        <v>800</v>
      </c>
      <c r="C2" s="8" t="n">
        <v>210</v>
      </c>
      <c r="D2" s="8" t="n">
        <v>400</v>
      </c>
      <c r="E2" s="8" t="n">
        <v>100</v>
      </c>
      <c r="F2" s="8" t="n">
        <v>100</v>
      </c>
      <c r="G2" s="8" t="n">
        <v>60</v>
      </c>
      <c r="H2" s="5" t="n">
        <f aca="false">SUM(B2:G2)</f>
        <v>1670</v>
      </c>
      <c r="J2" s="0" t="s">
        <v>9</v>
      </c>
      <c r="K2" s="0" t="s">
        <v>0</v>
      </c>
      <c r="L2" s="0" t="s">
        <v>3</v>
      </c>
      <c r="M2" s="0" t="s">
        <v>6</v>
      </c>
    </row>
    <row r="3" customFormat="false" ht="15" hidden="false" customHeight="false" outlineLevel="0" collapsed="false">
      <c r="A3" s="7" t="s">
        <v>10</v>
      </c>
      <c r="B3" s="8" t="n">
        <v>800</v>
      </c>
      <c r="C3" s="8" t="n">
        <v>180</v>
      </c>
      <c r="D3" s="8" t="n">
        <v>350</v>
      </c>
      <c r="E3" s="8" t="n">
        <v>100</v>
      </c>
      <c r="F3" s="8" t="n">
        <v>125</v>
      </c>
      <c r="G3" s="8" t="n">
        <v>70</v>
      </c>
      <c r="H3" s="5" t="n">
        <f aca="false">SUM(B3:G3)</f>
        <v>1625</v>
      </c>
      <c r="K3" s="7" t="s">
        <v>11</v>
      </c>
      <c r="L3" s="9" t="n">
        <f aca="false">HLOOKUP(D1, A1:H14, 10, 0)</f>
        <v>400</v>
      </c>
      <c r="M3" s="9" t="n">
        <f aca="false">HLOOKUP(G1, A1:H14, 10, 0)</f>
        <v>60</v>
      </c>
    </row>
    <row r="4" customFormat="false" ht="15" hidden="false" customHeight="false" outlineLevel="0" collapsed="false">
      <c r="A4" s="7" t="s">
        <v>12</v>
      </c>
      <c r="B4" s="8" t="n">
        <v>800</v>
      </c>
      <c r="C4" s="8" t="n">
        <v>170</v>
      </c>
      <c r="D4" s="8" t="n">
        <v>420</v>
      </c>
      <c r="E4" s="8" t="n">
        <v>100</v>
      </c>
      <c r="F4" s="8" t="n">
        <v>120</v>
      </c>
      <c r="G4" s="8" t="n">
        <v>60</v>
      </c>
      <c r="H4" s="5" t="n">
        <f aca="false">SUM(B4:G4)</f>
        <v>1670</v>
      </c>
      <c r="K4" s="7" t="s">
        <v>13</v>
      </c>
      <c r="L4" s="9" t="n">
        <f aca="false">HLOOKUP(D2, A2:H15, 10, 0)</f>
        <v>420</v>
      </c>
      <c r="M4" s="9" t="n">
        <f aca="false">HLOOKUP(G2, A2:H15, 10, 0)</f>
        <v>60</v>
      </c>
    </row>
    <row r="5" customFormat="false" ht="15" hidden="false" customHeight="false" outlineLevel="0" collapsed="false">
      <c r="A5" s="7" t="s">
        <v>14</v>
      </c>
      <c r="B5" s="8" t="n">
        <v>800</v>
      </c>
      <c r="C5" s="8" t="n">
        <v>160</v>
      </c>
      <c r="D5" s="8" t="n">
        <v>400</v>
      </c>
      <c r="E5" s="8" t="n">
        <v>120</v>
      </c>
      <c r="F5" s="8" t="n">
        <v>100</v>
      </c>
      <c r="G5" s="8" t="n">
        <v>60</v>
      </c>
      <c r="H5" s="5" t="n">
        <f aca="false">SUM(B5:G5)</f>
        <v>1640</v>
      </c>
      <c r="K5" s="7" t="s">
        <v>15</v>
      </c>
      <c r="L5" s="9" t="n">
        <f aca="false">HLOOKUP(D3, A3:H16, 10, 0)</f>
        <v>390</v>
      </c>
      <c r="M5" s="9" t="n">
        <f aca="false">HLOOKUP(G3, A3:H16, 10, 0)</f>
        <v>50</v>
      </c>
    </row>
    <row r="6" customFormat="false" ht="15" hidden="false" customHeight="false" outlineLevel="0" collapsed="false">
      <c r="A6" s="7" t="s">
        <v>16</v>
      </c>
      <c r="B6" s="8" t="n">
        <v>800</v>
      </c>
      <c r="C6" s="8" t="n">
        <v>150</v>
      </c>
      <c r="D6" s="8" t="n">
        <v>420</v>
      </c>
      <c r="E6" s="8" t="n">
        <v>100</v>
      </c>
      <c r="F6" s="8" t="n">
        <v>100</v>
      </c>
      <c r="G6" s="8" t="n">
        <v>80</v>
      </c>
      <c r="H6" s="5" t="n">
        <f aca="false">SUM(B6:G6)</f>
        <v>1650</v>
      </c>
      <c r="K6" s="7"/>
    </row>
    <row r="7" customFormat="false" ht="15" hidden="false" customHeight="false" outlineLevel="0" collapsed="false">
      <c r="A7" s="7" t="s">
        <v>17</v>
      </c>
      <c r="B7" s="8" t="n">
        <v>800</v>
      </c>
      <c r="C7" s="8" t="n">
        <v>150</v>
      </c>
      <c r="D7" s="8" t="n">
        <v>380</v>
      </c>
      <c r="E7" s="8" t="n">
        <v>100</v>
      </c>
      <c r="F7" s="8" t="n">
        <v>130</v>
      </c>
      <c r="G7" s="8" t="n">
        <v>60</v>
      </c>
      <c r="H7" s="5" t="n">
        <f aca="false">SUM(B7:G7)</f>
        <v>1620</v>
      </c>
      <c r="K7" s="7"/>
    </row>
    <row r="8" customFormat="false" ht="15" hidden="false" customHeight="false" outlineLevel="0" collapsed="false">
      <c r="A8" s="7" t="s">
        <v>18</v>
      </c>
      <c r="B8" s="8" t="n">
        <v>800</v>
      </c>
      <c r="C8" s="8" t="n">
        <v>150</v>
      </c>
      <c r="D8" s="8" t="n">
        <v>420</v>
      </c>
      <c r="E8" s="8" t="n">
        <v>120</v>
      </c>
      <c r="F8" s="8" t="n">
        <v>100</v>
      </c>
      <c r="G8" s="8" t="n">
        <v>60</v>
      </c>
      <c r="H8" s="5" t="n">
        <f aca="false">SUM(B8:G8)</f>
        <v>1650</v>
      </c>
      <c r="K8" s="7"/>
    </row>
    <row r="9" customFormat="false" ht="15" hidden="false" customHeight="false" outlineLevel="0" collapsed="false">
      <c r="A9" s="7" t="s">
        <v>19</v>
      </c>
      <c r="B9" s="8" t="n">
        <v>800</v>
      </c>
      <c r="C9" s="8" t="n">
        <v>150</v>
      </c>
      <c r="D9" s="8" t="n">
        <v>420</v>
      </c>
      <c r="E9" s="8" t="n">
        <v>100</v>
      </c>
      <c r="F9" s="8" t="n">
        <v>100</v>
      </c>
      <c r="G9" s="8" t="n">
        <v>80</v>
      </c>
      <c r="H9" s="5" t="n">
        <f aca="false">SUM(B9:G9)</f>
        <v>1650</v>
      </c>
      <c r="K9" s="7"/>
    </row>
    <row r="10" customFormat="false" ht="15" hidden="false" customHeight="false" outlineLevel="0" collapsed="false">
      <c r="A10" s="7" t="s">
        <v>11</v>
      </c>
      <c r="B10" s="8" t="n">
        <v>800</v>
      </c>
      <c r="C10" s="8" t="n">
        <v>150</v>
      </c>
      <c r="D10" s="8" t="n">
        <v>400</v>
      </c>
      <c r="E10" s="8" t="n">
        <v>120</v>
      </c>
      <c r="F10" s="8" t="n">
        <v>110</v>
      </c>
      <c r="G10" s="8" t="n">
        <v>60</v>
      </c>
      <c r="H10" s="5" t="n">
        <f aca="false">SUM(B10:G10)</f>
        <v>1640</v>
      </c>
      <c r="K10" s="7"/>
    </row>
    <row r="11" s="2" customFormat="true" ht="15" hidden="false" customHeight="false" outlineLevel="0" collapsed="false">
      <c r="A11" s="7" t="s">
        <v>13</v>
      </c>
      <c r="B11" s="8" t="n">
        <v>800</v>
      </c>
      <c r="C11" s="8" t="n">
        <v>170</v>
      </c>
      <c r="D11" s="8" t="n">
        <v>420</v>
      </c>
      <c r="E11" s="8" t="n">
        <v>100</v>
      </c>
      <c r="F11" s="8" t="n">
        <v>100</v>
      </c>
      <c r="G11" s="8" t="n">
        <v>60</v>
      </c>
      <c r="H11" s="5" t="n">
        <f aca="false">SUM(B11:G11)</f>
        <v>1650</v>
      </c>
      <c r="I11" s="0"/>
      <c r="J11" s="0"/>
      <c r="K11" s="0"/>
      <c r="L11" s="0"/>
      <c r="M11" s="0"/>
    </row>
    <row r="12" customFormat="false" ht="15" hidden="false" customHeight="false" outlineLevel="0" collapsed="false">
      <c r="A12" s="7" t="s">
        <v>15</v>
      </c>
      <c r="B12" s="8" t="n">
        <v>800</v>
      </c>
      <c r="C12" s="8" t="n">
        <v>200</v>
      </c>
      <c r="D12" s="8" t="n">
        <v>390</v>
      </c>
      <c r="E12" s="8" t="n">
        <v>120</v>
      </c>
      <c r="F12" s="8" t="n">
        <v>100</v>
      </c>
      <c r="G12" s="8" t="n">
        <v>50</v>
      </c>
      <c r="H12" s="5" t="n">
        <f aca="false">SUM(B12:G12)</f>
        <v>1660</v>
      </c>
    </row>
    <row r="13" customFormat="false" ht="15" hidden="false" customHeight="false" outlineLevel="0" collapsed="false">
      <c r="A13" s="7" t="s">
        <v>20</v>
      </c>
      <c r="B13" s="8" t="n">
        <v>800</v>
      </c>
      <c r="C13" s="8" t="n">
        <v>220</v>
      </c>
      <c r="D13" s="8" t="n">
        <v>400</v>
      </c>
      <c r="E13" s="8" t="n">
        <v>100</v>
      </c>
      <c r="F13" s="8" t="n">
        <v>115</v>
      </c>
      <c r="G13" s="8" t="n">
        <v>60</v>
      </c>
      <c r="H13" s="5" t="n">
        <f aca="false">SUM(B13:G13)</f>
        <v>1695</v>
      </c>
    </row>
    <row r="14" customFormat="false" ht="15" hidden="false" customHeight="false" outlineLevel="0" collapsed="false">
      <c r="A14" s="10" t="s">
        <v>21</v>
      </c>
      <c r="B14" s="11" t="n">
        <f aca="false">SUM(B2:B13)</f>
        <v>9600</v>
      </c>
      <c r="C14" s="11" t="n">
        <f aca="false">SUM(C2:C13)</f>
        <v>2060</v>
      </c>
      <c r="D14" s="11" t="n">
        <f aca="false">SUM(D2:D13)</f>
        <v>4820</v>
      </c>
      <c r="E14" s="11" t="n">
        <f aca="false">SUM(E2:E13)</f>
        <v>1280</v>
      </c>
      <c r="F14" s="11" t="n">
        <f aca="false">SUM(F2:F13)</f>
        <v>1300</v>
      </c>
      <c r="G14" s="11" t="n">
        <f aca="false">SUM(G2:G13)</f>
        <v>760</v>
      </c>
      <c r="H14" s="5" t="n">
        <f aca="false">SUM(B14:G14)</f>
        <v>19820</v>
      </c>
      <c r="K14" s="7"/>
      <c r="L14" s="0" t="n">
        <f aca="false">HLOOKUP(D12, A12:H25, 10, 0)</f>
        <v>0</v>
      </c>
    </row>
    <row r="16" customFormat="false" ht="15" hidden="false" customHeight="false" outlineLevel="0" collapsed="false">
      <c r="A16" s="1" t="s">
        <v>22</v>
      </c>
      <c r="B16" s="1" t="n">
        <f aca="false">AVERAGE(B2:B13)</f>
        <v>800</v>
      </c>
      <c r="C16" s="1" t="n">
        <f aca="false">AVERAGE(C2:C13)</f>
        <v>171.666666666667</v>
      </c>
      <c r="D16" s="1" t="n">
        <f aca="false">AVERAGE(D2:D13)</f>
        <v>401.666666666667</v>
      </c>
      <c r="E16" s="1" t="n">
        <f aca="false">AVERAGE(E2:E13)</f>
        <v>106.666666666667</v>
      </c>
      <c r="F16" s="1" t="n">
        <f aca="false">AVERAGE(F2:F13)</f>
        <v>108.333333333333</v>
      </c>
      <c r="G16" s="1" t="n">
        <f aca="false">AVERAGE(G2:G13)</f>
        <v>63.3333333333333</v>
      </c>
    </row>
    <row r="17" customFormat="false" ht="15" hidden="false" customHeight="false" outlineLevel="0" collapsed="false">
      <c r="A17" s="1" t="s">
        <v>23</v>
      </c>
      <c r="B17" s="1" t="n">
        <f aca="false">MIN(B2:B13)</f>
        <v>800</v>
      </c>
      <c r="C17" s="1" t="n">
        <f aca="false">MIN(C2:C13)</f>
        <v>150</v>
      </c>
      <c r="D17" s="1" t="n">
        <f aca="false">MIN(D2:D13)</f>
        <v>350</v>
      </c>
      <c r="E17" s="1" t="n">
        <f aca="false">MIN(E2:E13)</f>
        <v>100</v>
      </c>
      <c r="F17" s="1" t="n">
        <f aca="false">MIN(F2:F13)</f>
        <v>100</v>
      </c>
      <c r="G17" s="1" t="n">
        <f aca="false">MIN(G2:G13)</f>
        <v>50</v>
      </c>
    </row>
    <row r="18" customFormat="false" ht="15" hidden="false" customHeight="false" outlineLevel="0" collapsed="false">
      <c r="A18" s="1" t="s">
        <v>24</v>
      </c>
      <c r="B18" s="1" t="n">
        <f aca="false">MAX(B2:B13)</f>
        <v>800</v>
      </c>
      <c r="C18" s="1" t="n">
        <f aca="false">MAX(C2:C13)</f>
        <v>220</v>
      </c>
      <c r="D18" s="1" t="n">
        <f aca="false">MAX(D2:D13)</f>
        <v>420</v>
      </c>
      <c r="E18" s="1" t="n">
        <f aca="false">MAX(E2:E13)</f>
        <v>120</v>
      </c>
      <c r="F18" s="1" t="n">
        <f aca="false">MAX(F2:F13)</f>
        <v>130</v>
      </c>
      <c r="G18" s="1" t="n">
        <f aca="false">MAX(G2:G13)</f>
        <v>80</v>
      </c>
    </row>
    <row r="19" customFormat="false" ht="15" hidden="false" customHeight="false" outlineLevel="0" collapsed="false">
      <c r="A19" s="2" t="s">
        <v>25</v>
      </c>
      <c r="B19" s="2" t="n">
        <f aca="false">COUNT(B2:B13)</f>
        <v>12</v>
      </c>
      <c r="C19" s="2" t="n">
        <f aca="false">COUNT(C2:C13)</f>
        <v>12</v>
      </c>
      <c r="D19" s="2" t="n">
        <f aca="false">COUNT(D2:D13)</f>
        <v>12</v>
      </c>
      <c r="E19" s="2" t="n">
        <f aca="false">COUNT(E2:E13)</f>
        <v>12</v>
      </c>
      <c r="F19" s="2" t="n">
        <f aca="false">COUNT(F2:F13)</f>
        <v>12</v>
      </c>
      <c r="G19" s="2" t="n">
        <f aca="false">COUNT(G2:G13)</f>
        <v>12</v>
      </c>
      <c r="I19" s="2"/>
      <c r="J19" s="2"/>
      <c r="K19" s="2"/>
      <c r="L19" s="2"/>
      <c r="M19" s="2"/>
    </row>
    <row r="20" customFormat="false" ht="15" hidden="false" customHeight="false" outlineLevel="0" collapsed="false">
      <c r="A20" s="1" t="s">
        <v>26</v>
      </c>
      <c r="B20" s="1" t="n">
        <f aca="false">MEDIAN(B2:B13)</f>
        <v>800</v>
      </c>
      <c r="C20" s="1" t="n">
        <f aca="false">MEDIAN(C2:C13)</f>
        <v>165</v>
      </c>
      <c r="D20" s="1" t="n">
        <f aca="false">MEDIAN(D2:D13)</f>
        <v>400</v>
      </c>
      <c r="E20" s="1" t="n">
        <f aca="false">MEDIAN(E2:E13)</f>
        <v>100</v>
      </c>
      <c r="F20" s="1" t="n">
        <f aca="false">MEDIAN(F2:F13)</f>
        <v>100</v>
      </c>
      <c r="G20" s="1" t="n">
        <f aca="false">MEDIAN(G2:G13)</f>
        <v>60</v>
      </c>
    </row>
    <row r="23" s="12" customFormat="true" ht="15" hidden="false" customHeight="false" outlineLevel="0" collapsed="false">
      <c r="A23" s="0"/>
      <c r="B23" s="1"/>
      <c r="C23" s="1"/>
      <c r="D23" s="1"/>
      <c r="E23" s="1"/>
      <c r="F23" s="1"/>
      <c r="G23" s="1"/>
      <c r="H23" s="2"/>
      <c r="I23" s="0"/>
      <c r="J23" s="0"/>
      <c r="K23" s="0"/>
      <c r="L23" s="0"/>
      <c r="M23" s="0"/>
    </row>
    <row r="24" s="12" customFormat="true" ht="15" hidden="false" customHeight="false" outlineLevel="0" collapsed="false">
      <c r="A24" s="0"/>
      <c r="B24" s="1"/>
      <c r="C24" s="1"/>
      <c r="D24" s="1"/>
      <c r="E24" s="1"/>
      <c r="F24" s="1"/>
      <c r="G24" s="1"/>
      <c r="H24" s="2"/>
      <c r="I24" s="0"/>
      <c r="J24" s="0"/>
      <c r="K24" s="0"/>
      <c r="L24" s="0"/>
      <c r="M24" s="0"/>
    </row>
    <row r="25" s="12" customFormat="true" ht="15" hidden="false" customHeight="false" outlineLevel="0" collapsed="false">
      <c r="A25" s="0"/>
      <c r="B25" s="1"/>
      <c r="C25" s="1"/>
      <c r="D25" s="1"/>
      <c r="E25" s="1"/>
      <c r="F25" s="1"/>
      <c r="G25" s="1"/>
      <c r="H25" s="2"/>
      <c r="I25" s="0"/>
      <c r="J25" s="0"/>
      <c r="K25" s="0"/>
      <c r="L25" s="0"/>
      <c r="M25" s="0"/>
    </row>
    <row r="26" s="12" customFormat="true" ht="15" hidden="false" customHeight="false" outlineLevel="0" collapsed="false">
      <c r="A26" s="0"/>
      <c r="B26" s="1"/>
      <c r="C26" s="1"/>
      <c r="D26" s="1"/>
      <c r="E26" s="1"/>
      <c r="F26" s="1"/>
      <c r="G26" s="1"/>
      <c r="H26" s="2"/>
      <c r="I26" s="0"/>
      <c r="J26" s="0"/>
      <c r="K26" s="0"/>
      <c r="L26" s="0"/>
      <c r="M26" s="0"/>
    </row>
    <row r="27" s="12" customFormat="true" ht="15" hidden="false" customHeight="false" outlineLevel="0" collapsed="false">
      <c r="A27" s="0"/>
      <c r="B27" s="1"/>
      <c r="C27" s="1"/>
      <c r="D27" s="1"/>
      <c r="E27" s="1"/>
      <c r="F27" s="1"/>
      <c r="G27" s="1"/>
      <c r="H27" s="2"/>
      <c r="I27" s="0"/>
      <c r="J27" s="0"/>
      <c r="K27" s="0"/>
      <c r="L27" s="0"/>
      <c r="M27" s="0"/>
    </row>
    <row r="28" s="12" customFormat="true" ht="15" hidden="false" customHeight="false" outlineLevel="0" collapsed="false">
      <c r="A28" s="0"/>
      <c r="B28" s="1"/>
      <c r="C28" s="1"/>
      <c r="D28" s="1"/>
      <c r="E28" s="1"/>
      <c r="F28" s="1"/>
      <c r="G28" s="1"/>
      <c r="H28" s="2"/>
      <c r="I28" s="0"/>
      <c r="J28" s="0"/>
      <c r="K28" s="0"/>
      <c r="L28" s="0"/>
      <c r="M28" s="0"/>
    </row>
    <row r="29" s="12" customFormat="true" ht="15" hidden="false" customHeight="false" outlineLevel="0" collapsed="false">
      <c r="A29" s="0"/>
      <c r="B29" s="1"/>
      <c r="C29" s="1"/>
      <c r="D29" s="1"/>
      <c r="E29" s="1"/>
      <c r="F29" s="1"/>
      <c r="G29" s="1"/>
      <c r="H29" s="2"/>
      <c r="I29" s="0"/>
      <c r="J29" s="0"/>
      <c r="K29" s="0"/>
      <c r="L29" s="0"/>
      <c r="M29" s="0"/>
    </row>
    <row r="30" s="12" customFormat="true" ht="15" hidden="false" customHeight="false" outlineLevel="0" collapsed="false">
      <c r="A30" s="0"/>
      <c r="B30" s="1" t="s">
        <v>27</v>
      </c>
      <c r="C30" s="1" t="s">
        <v>28</v>
      </c>
      <c r="D30" s="1" t="s">
        <v>29</v>
      </c>
      <c r="E30" s="1"/>
      <c r="F30" s="1"/>
      <c r="G30" s="1"/>
      <c r="H30" s="2"/>
      <c r="I30" s="0"/>
      <c r="J30" s="0"/>
      <c r="K30" s="0"/>
      <c r="L30" s="0"/>
      <c r="M30" s="0"/>
    </row>
    <row r="31" s="12" customFormat="true" ht="15" hidden="false" customHeight="false" outlineLevel="0" collapsed="false">
      <c r="A31" s="12" t="n">
        <v>1</v>
      </c>
      <c r="B31" s="1" t="e">
        <f aca="false">A16+A17</f>
        <v>#VALUE!</v>
      </c>
      <c r="H31" s="2"/>
    </row>
    <row r="32" s="12" customFormat="true" ht="15" hidden="false" customHeight="false" outlineLevel="0" collapsed="false">
      <c r="A32" s="12" t="n">
        <v>2</v>
      </c>
      <c r="H32" s="2"/>
    </row>
    <row r="33" customFormat="false" ht="15" hidden="false" customHeight="false" outlineLevel="0" collapsed="false">
      <c r="A33" s="12" t="n">
        <v>3</v>
      </c>
      <c r="B33" s="12" t="n">
        <f aca="false">A31+A32</f>
        <v>3</v>
      </c>
      <c r="C33" s="12" t="n">
        <f aca="false">$A$31+$A$32</f>
        <v>3</v>
      </c>
      <c r="D33" s="12" t="n">
        <f aca="false">$A$31+$A32</f>
        <v>3</v>
      </c>
      <c r="E33" s="12"/>
      <c r="F33" s="12"/>
      <c r="G33" s="12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 t="n">
        <v>4</v>
      </c>
      <c r="B34" s="12" t="n">
        <f aca="false">A32+A33</f>
        <v>5</v>
      </c>
      <c r="C34" s="12" t="n">
        <f aca="false">$A$31+$A$32</f>
        <v>3</v>
      </c>
      <c r="D34" s="12" t="n">
        <f aca="false">$A$31+$A33</f>
        <v>4</v>
      </c>
      <c r="E34" s="12"/>
      <c r="F34" s="12"/>
      <c r="G34" s="12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 t="n">
        <v>5</v>
      </c>
      <c r="B35" s="12" t="n">
        <f aca="false">A33+A34</f>
        <v>7</v>
      </c>
      <c r="C35" s="12" t="n">
        <f aca="false">$A$31+$A$32</f>
        <v>3</v>
      </c>
      <c r="D35" s="12" t="n">
        <f aca="false">$A$31+$A34</f>
        <v>5</v>
      </c>
      <c r="E35" s="12"/>
      <c r="F35" s="12"/>
      <c r="G35" s="12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 t="n">
        <v>6</v>
      </c>
      <c r="B36" s="12" t="n">
        <f aca="false">A34+A35</f>
        <v>9</v>
      </c>
      <c r="C36" s="12" t="n">
        <f aca="false">$A$31+$A$32</f>
        <v>3</v>
      </c>
      <c r="D36" s="12" t="n">
        <f aca="false">$A$31+$A35</f>
        <v>6</v>
      </c>
      <c r="E36" s="12"/>
      <c r="F36" s="12"/>
      <c r="G36" s="12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 t="n">
        <v>7</v>
      </c>
      <c r="B37" s="12" t="n">
        <f aca="false">A35+A36</f>
        <v>11</v>
      </c>
      <c r="C37" s="12" t="n">
        <f aca="false">$A$31+$A$32</f>
        <v>3</v>
      </c>
      <c r="D37" s="12" t="n">
        <f aca="false">$A$31+$A36</f>
        <v>7</v>
      </c>
      <c r="E37" s="12"/>
      <c r="F37" s="12"/>
      <c r="G37" s="12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 t="n">
        <v>8</v>
      </c>
      <c r="B38" s="12" t="n">
        <f aca="false">A36+A37</f>
        <v>13</v>
      </c>
      <c r="C38" s="12" t="n">
        <f aca="false">$A$31+$A$32</f>
        <v>3</v>
      </c>
      <c r="D38" s="12" t="n">
        <f aca="false">$A$31+$A37</f>
        <v>8</v>
      </c>
      <c r="E38" s="12"/>
      <c r="F38" s="12"/>
      <c r="G38" s="12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 t="n">
        <v>9</v>
      </c>
      <c r="B39" s="12" t="n">
        <f aca="false">A37+A38</f>
        <v>15</v>
      </c>
      <c r="C39" s="12" t="n">
        <f aca="false">$A$31+$A$32</f>
        <v>3</v>
      </c>
      <c r="D39" s="12" t="n">
        <f aca="false">$A$31+$A38</f>
        <v>9</v>
      </c>
      <c r="E39" s="12"/>
      <c r="F39" s="12"/>
      <c r="G39" s="12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 t="n">
        <v>10</v>
      </c>
      <c r="B40" s="12" t="n">
        <f aca="false">A38+A39</f>
        <v>17</v>
      </c>
      <c r="C40" s="12" t="n">
        <f aca="false">$A$31+$A$32</f>
        <v>3</v>
      </c>
      <c r="D40" s="12" t="n">
        <f aca="false">$A$31+$A39</f>
        <v>10</v>
      </c>
      <c r="E40" s="12"/>
      <c r="F40" s="12"/>
      <c r="G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B41" s="12"/>
    </row>
    <row r="42" customFormat="false" ht="15" hidden="false" customHeight="false" outlineLevel="0" collapsed="false">
      <c r="B42" s="12"/>
    </row>
    <row r="43" customFormat="false" ht="15" hidden="false" customHeight="false" outlineLevel="0" collapsed="false">
      <c r="B4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8359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2020-06-01T10:09:08Z</dcterms:created>
  <dc:creator/>
  <dc:description/>
  <dc:language>en-CA</dc:language>
  <cp:lastModifiedBy/>
  <dcterms:modified xsi:type="dcterms:W3CDTF">2025-12-09T14:16:34Z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