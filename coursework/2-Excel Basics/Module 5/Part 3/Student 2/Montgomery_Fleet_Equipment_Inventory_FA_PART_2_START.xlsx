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in\Desktop\IBM Data Analyst\Excel\"/>
    </mc:Choice>
  </mc:AlternateContent>
  <xr:revisionPtr revIDLastSave="0" documentId="13_ncr:1_{DBF3D6FB-A61C-4413-AD1F-79B3A7C372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Montgomery_Fleet_Equipment_Inve!$A$1:$C$50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<sst xmlns="http://schemas.openxmlformats.org/spreadsheetml/2006/main" count="165" uniqueCount="37">
  <si>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</si>
  <si>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</si>
  <si>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</si>
  <si>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</si>
  <si>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</si>
  <si>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</si>
  <si>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</si>
  <si>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</si>
  <si>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</si>
  <si>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</si>
  <si>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</si>
  <si>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</si>
  <si>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</si>
  <si>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</si>
  <si>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</si>
  <si>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</si>
  <si>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</si>
  <si>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</si>
  <si>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</si>
  <si>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</si>
  <si>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</si>
  <si>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</si>
  <si>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</si>
  <si>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</si>
  <si>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</si>
  <si>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</si>
  <si>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</si>
  <si>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</si>
  <si>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</si>
  <si>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Average</t>
  </si>
  <si>
    <t>Min</t>
  </si>
  <si>
    <t>Max</t>
  </si>
  <si>
    <t>Count</t>
  </si>
  <si>
    <t>Sum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</si>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</sst>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1" xfId="0" applyFont="1" applyBorder="1"/>
    <xf numFmtId="0" fontId="16" fillId="0" borderId="13" xfId="0" applyFont="1" applyBorder="1"/>
    <xf numFmtId="0" fontId="16" fillId="0" borderId="15" xfId="0" applyFont="1" applyBorder="1"/>
    <xf numFmtId="4" fontId="0" fillId="0" borderId="14" xfId="0" applyNumberFormat="1" applyBorder="1"/>
    <xf numFmtId="3" fontId="0" fillId="0" borderId="12" xfId="0" applyNumberFormat="1" applyBorder="1"/>
    <xf numFmtId="3" fontId="0" fillId="0" borderId="14" xfId="0" applyNumberFormat="1" applyBorder="1"/>
    <xf numFmtId="3" fontId="0" fillId="0" borderId="16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8" fillId="33" borderId="10" xfId="0" applyFont="1" applyFill="1" applyBorder="1" applyAlignment="1">
      <alignment horizontal="center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55B0983-CE08-4226-8302-4DFAEC4E27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cati ALPEREN" refreshedDate="46001.091696296295" createdVersion="8" refreshedVersion="8" minRefreshableVersion="3" recordCount="49" xr:uid="{3B46C0C8-97AD-400A-BDAD-CBD9FE4F131C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FB75C-F078-4A1F-9B15-2C8B414172F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9:J37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BB6C0-2E5B-43D2-9C43-41F639B93E1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23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C1A99-C3B8-47C3-BBE8-A222981E0C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1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A3535-D65F-4F97-9184-3A72DB3BE815}" name="Table1" displayName="Table1" ref="A1:C50" totalsRowShown="0">
  <autoFilter ref="A1:C50" xr:uid="{00000000-0001-0000-0000-000000000000}"/>
  <tableColumns count="3">
    <tableColumn id="1" xr3:uid="{C79D7A5B-0230-4B9C-81E2-C38F4C03046A}" name="Department"/>
    <tableColumn id="2" xr3:uid="{E3A4448A-2460-4725-9309-F5D348236C34}" name="Equipment Class"/>
    <tableColumn id="3" xr3:uid="{3CB60AE8-CFE6-434D-A0D6-AECEEDFBED21}" name="Equipment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="85" zoomScaleNormal="85" workbookViewId="0">
      <selection activeCell="G24" sqref="G24"/>
    </sheetView>
  </sheetViews>
  <sheetFormatPr defaultRowHeight="15" x14ac:dyDescent="0.25"/>
  <cols>
    <col min="1" max="1" width="29.42578125" bestFit="1" customWidth="1"/>
    <col min="2" max="2" width="26.5703125" bestFit="1" customWidth="1"/>
    <col min="3" max="3" width="18.5703125" customWidth="1"/>
    <col min="6" max="6" width="10.85546875" customWidth="1"/>
    <col min="9" max="9" width="28.42578125" bestFit="1" customWidth="1"/>
    <col min="10" max="10" width="23.42578125" bestFit="1" customWidth="1"/>
    <col min="13" max="13" width="31.28515625" bestFit="1" customWidth="1"/>
    <col min="14" max="14" width="23.42578125" bestFit="1" customWidth="1"/>
  </cols>
  <sheetData>
    <row r="1" spans="1:14" ht="15.75" thickBot="1" x14ac:dyDescent="0.3">
      <c r="A1" t="s">
        <v>0</v>
      </c>
      <c r="B1" t="s">
        <v>1</v>
      </c>
      <c r="C1" t="s">
        <v>2</v>
      </c>
      <c r="I1" s="8" t="s">
        <v>34</v>
      </c>
      <c r="J1" t="s">
        <v>36</v>
      </c>
      <c r="M1" s="8" t="s">
        <v>34</v>
      </c>
      <c r="N1" t="s">
        <v>36</v>
      </c>
    </row>
    <row r="2" spans="1:14" x14ac:dyDescent="0.25">
      <c r="A2" t="s">
        <v>5</v>
      </c>
      <c r="B2" t="s">
        <v>6</v>
      </c>
      <c r="C2">
        <v>21</v>
      </c>
      <c r="E2" s="1" t="s">
        <v>33</v>
      </c>
      <c r="F2" s="5">
        <f>SUM(Table1[Equipment Count])</f>
        <v>1582</v>
      </c>
      <c r="I2" s="9" t="s">
        <v>26</v>
      </c>
      <c r="J2" s="10">
        <v>1221</v>
      </c>
      <c r="M2" s="9" t="s">
        <v>26</v>
      </c>
      <c r="N2" s="10">
        <v>1221</v>
      </c>
    </row>
    <row r="3" spans="1:14" x14ac:dyDescent="0.25">
      <c r="A3" t="s">
        <v>5</v>
      </c>
      <c r="B3" t="s">
        <v>7</v>
      </c>
      <c r="C3">
        <v>1</v>
      </c>
      <c r="E3" s="2" t="s">
        <v>29</v>
      </c>
      <c r="F3" s="4">
        <f>AVERAGE(Table1[Equipment Count])</f>
        <v>32.285714285714285</v>
      </c>
      <c r="I3" s="9" t="s">
        <v>15</v>
      </c>
      <c r="J3" s="10">
        <v>109</v>
      </c>
      <c r="M3" s="12" t="s">
        <v>16</v>
      </c>
      <c r="N3" s="10">
        <v>5</v>
      </c>
    </row>
    <row r="4" spans="1:14" x14ac:dyDescent="0.25">
      <c r="A4" t="s">
        <v>5</v>
      </c>
      <c r="B4" t="s">
        <v>4</v>
      </c>
      <c r="C4">
        <v>23</v>
      </c>
      <c r="E4" s="2" t="s">
        <v>30</v>
      </c>
      <c r="F4" s="6">
        <f>MIN(Table1[Equipment Count])</f>
        <v>1</v>
      </c>
      <c r="I4" s="9" t="s">
        <v>19</v>
      </c>
      <c r="J4" s="10">
        <v>85</v>
      </c>
      <c r="M4" s="12" t="s">
        <v>13</v>
      </c>
      <c r="N4" s="10">
        <v>248</v>
      </c>
    </row>
    <row r="5" spans="1:14" x14ac:dyDescent="0.25">
      <c r="A5" t="s">
        <v>8</v>
      </c>
      <c r="B5" t="s">
        <v>4</v>
      </c>
      <c r="C5">
        <v>2</v>
      </c>
      <c r="E5" s="2" t="s">
        <v>31</v>
      </c>
      <c r="F5" s="6">
        <f>MAX(Table1[Equipment Count])</f>
        <v>379</v>
      </c>
      <c r="I5" s="9" t="s">
        <v>12</v>
      </c>
      <c r="J5" s="10">
        <v>56</v>
      </c>
      <c r="M5" s="12" t="s">
        <v>11</v>
      </c>
      <c r="N5" s="10">
        <v>98</v>
      </c>
    </row>
    <row r="6" spans="1:14" ht="15.75" thickBot="1" x14ac:dyDescent="0.3">
      <c r="A6" t="s">
        <v>9</v>
      </c>
      <c r="B6" t="s">
        <v>6</v>
      </c>
      <c r="C6">
        <v>3</v>
      </c>
      <c r="E6" s="3" t="s">
        <v>32</v>
      </c>
      <c r="F6" s="7">
        <f>COUNT(Table1[Equipment Count])</f>
        <v>49</v>
      </c>
      <c r="I6" s="9" t="s">
        <v>5</v>
      </c>
      <c r="J6" s="10">
        <v>45</v>
      </c>
      <c r="M6" s="12" t="s">
        <v>28</v>
      </c>
      <c r="N6" s="10">
        <v>276</v>
      </c>
    </row>
    <row r="7" spans="1:14" ht="16.5" thickBot="1" x14ac:dyDescent="0.3">
      <c r="A7" t="s">
        <v>9</v>
      </c>
      <c r="B7" t="s">
        <v>10</v>
      </c>
      <c r="C7">
        <v>2</v>
      </c>
      <c r="H7" s="11">
        <v>1</v>
      </c>
      <c r="I7" s="9" t="s">
        <v>18</v>
      </c>
      <c r="J7" s="10">
        <v>35</v>
      </c>
      <c r="M7" s="12" t="s">
        <v>6</v>
      </c>
      <c r="N7" s="10">
        <v>93</v>
      </c>
    </row>
    <row r="8" spans="1:14" ht="16.5" thickBot="1" x14ac:dyDescent="0.3">
      <c r="A8" t="s">
        <v>9</v>
      </c>
      <c r="B8" t="s">
        <v>11</v>
      </c>
      <c r="C8">
        <v>1</v>
      </c>
      <c r="I8" s="9" t="s">
        <v>25</v>
      </c>
      <c r="J8" s="10">
        <v>16</v>
      </c>
      <c r="L8" s="11">
        <v>2</v>
      </c>
      <c r="M8" s="12" t="s">
        <v>4</v>
      </c>
      <c r="N8" s="10">
        <v>37</v>
      </c>
    </row>
    <row r="9" spans="1:14" x14ac:dyDescent="0.25">
      <c r="A9" t="s">
        <v>12</v>
      </c>
      <c r="B9" t="s">
        <v>10</v>
      </c>
      <c r="C9">
        <v>2</v>
      </c>
      <c r="I9" s="9" t="s">
        <v>9</v>
      </c>
      <c r="J9" s="10">
        <v>6</v>
      </c>
      <c r="M9" s="12" t="s">
        <v>7</v>
      </c>
      <c r="N9" s="10">
        <v>53</v>
      </c>
    </row>
    <row r="10" spans="1:14" x14ac:dyDescent="0.25">
      <c r="A10" t="s">
        <v>12</v>
      </c>
      <c r="B10" t="s">
        <v>13</v>
      </c>
      <c r="C10">
        <v>42</v>
      </c>
      <c r="I10" s="9" t="s">
        <v>24</v>
      </c>
      <c r="J10" s="10">
        <v>5</v>
      </c>
      <c r="M10" s="12" t="s">
        <v>27</v>
      </c>
      <c r="N10" s="10">
        <v>379</v>
      </c>
    </row>
    <row r="11" spans="1:14" x14ac:dyDescent="0.25">
      <c r="A11" t="s">
        <v>12</v>
      </c>
      <c r="B11" t="s">
        <v>7</v>
      </c>
      <c r="C11">
        <v>1</v>
      </c>
      <c r="I11" s="9" t="s">
        <v>8</v>
      </c>
      <c r="J11" s="10">
        <v>2</v>
      </c>
      <c r="M11" s="12" t="s">
        <v>10</v>
      </c>
      <c r="N11" s="10">
        <v>32</v>
      </c>
    </row>
    <row r="12" spans="1:14" x14ac:dyDescent="0.25">
      <c r="A12" t="s">
        <v>12</v>
      </c>
      <c r="B12" t="s">
        <v>4</v>
      </c>
      <c r="C12">
        <v>11</v>
      </c>
      <c r="I12" s="9" t="s">
        <v>14</v>
      </c>
      <c r="J12" s="10">
        <v>1</v>
      </c>
      <c r="M12" s="9" t="s">
        <v>15</v>
      </c>
      <c r="N12" s="10">
        <v>109</v>
      </c>
    </row>
    <row r="13" spans="1:14" x14ac:dyDescent="0.25">
      <c r="A13" t="s">
        <v>14</v>
      </c>
      <c r="B13" t="s">
        <v>7</v>
      </c>
      <c r="C13">
        <v>1</v>
      </c>
      <c r="I13" s="9" t="s">
        <v>17</v>
      </c>
      <c r="J13" s="10">
        <v>1</v>
      </c>
      <c r="M13" s="9" t="s">
        <v>19</v>
      </c>
      <c r="N13" s="10">
        <v>85</v>
      </c>
    </row>
    <row r="14" spans="1:14" x14ac:dyDescent="0.25">
      <c r="A14" t="s">
        <v>15</v>
      </c>
      <c r="B14" t="s">
        <v>16</v>
      </c>
      <c r="C14">
        <v>9</v>
      </c>
      <c r="I14" s="9" t="s">
        <v>35</v>
      </c>
      <c r="J14" s="10">
        <v>1582</v>
      </c>
      <c r="M14" s="9" t="s">
        <v>12</v>
      </c>
      <c r="N14" s="10">
        <v>56</v>
      </c>
    </row>
    <row r="15" spans="1:14" x14ac:dyDescent="0.25">
      <c r="A15" t="s">
        <v>15</v>
      </c>
      <c r="B15" t="s">
        <v>7</v>
      </c>
      <c r="C15">
        <v>27</v>
      </c>
      <c r="M15" s="9" t="s">
        <v>5</v>
      </c>
      <c r="N15" s="10">
        <v>45</v>
      </c>
    </row>
    <row r="16" spans="1:14" x14ac:dyDescent="0.25">
      <c r="A16" t="s">
        <v>15</v>
      </c>
      <c r="B16" t="s">
        <v>6</v>
      </c>
      <c r="C16">
        <v>24</v>
      </c>
      <c r="M16" s="9" t="s">
        <v>18</v>
      </c>
      <c r="N16" s="10">
        <v>35</v>
      </c>
    </row>
    <row r="17" spans="1:14" x14ac:dyDescent="0.25">
      <c r="A17" t="s">
        <v>15</v>
      </c>
      <c r="B17" t="s">
        <v>10</v>
      </c>
      <c r="C17">
        <v>1</v>
      </c>
      <c r="M17" s="9" t="s">
        <v>25</v>
      </c>
      <c r="N17" s="10">
        <v>16</v>
      </c>
    </row>
    <row r="18" spans="1:14" x14ac:dyDescent="0.25">
      <c r="A18" t="s">
        <v>15</v>
      </c>
      <c r="B18" t="s">
        <v>4</v>
      </c>
      <c r="C18">
        <v>48</v>
      </c>
      <c r="M18" s="9" t="s">
        <v>9</v>
      </c>
      <c r="N18" s="10">
        <v>6</v>
      </c>
    </row>
    <row r="19" spans="1:14" x14ac:dyDescent="0.25">
      <c r="A19" t="s">
        <v>17</v>
      </c>
      <c r="B19" t="s">
        <v>10</v>
      </c>
      <c r="C19">
        <v>1</v>
      </c>
      <c r="I19" s="8" t="s">
        <v>34</v>
      </c>
      <c r="J19" t="s">
        <v>36</v>
      </c>
      <c r="M19" s="9" t="s">
        <v>24</v>
      </c>
      <c r="N19" s="10">
        <v>5</v>
      </c>
    </row>
    <row r="20" spans="1:14" x14ac:dyDescent="0.25">
      <c r="A20" t="s">
        <v>18</v>
      </c>
      <c r="B20" t="s">
        <v>4</v>
      </c>
      <c r="C20">
        <v>6</v>
      </c>
      <c r="I20" s="9" t="s">
        <v>16</v>
      </c>
      <c r="J20" s="10">
        <v>15</v>
      </c>
      <c r="M20" s="9" t="s">
        <v>8</v>
      </c>
      <c r="N20" s="10">
        <v>2</v>
      </c>
    </row>
    <row r="21" spans="1:14" x14ac:dyDescent="0.25">
      <c r="A21" t="s">
        <v>18</v>
      </c>
      <c r="B21" t="s">
        <v>6</v>
      </c>
      <c r="C21">
        <v>5</v>
      </c>
      <c r="I21" s="12" t="s">
        <v>15</v>
      </c>
      <c r="J21" s="10">
        <v>9</v>
      </c>
      <c r="M21" s="9" t="s">
        <v>14</v>
      </c>
      <c r="N21" s="10">
        <v>1</v>
      </c>
    </row>
    <row r="22" spans="1:14" x14ac:dyDescent="0.25">
      <c r="A22" t="s">
        <v>18</v>
      </c>
      <c r="B22" t="s">
        <v>7</v>
      </c>
      <c r="C22">
        <v>2</v>
      </c>
      <c r="I22" s="12" t="s">
        <v>26</v>
      </c>
      <c r="J22" s="10">
        <v>5</v>
      </c>
      <c r="M22" s="9" t="s">
        <v>17</v>
      </c>
      <c r="N22" s="10">
        <v>1</v>
      </c>
    </row>
    <row r="23" spans="1:14" x14ac:dyDescent="0.25">
      <c r="A23" t="s">
        <v>18</v>
      </c>
      <c r="B23" t="s">
        <v>10</v>
      </c>
      <c r="C23">
        <v>15</v>
      </c>
      <c r="I23" s="12" t="s">
        <v>25</v>
      </c>
      <c r="J23" s="10">
        <v>1</v>
      </c>
      <c r="M23" s="9" t="s">
        <v>35</v>
      </c>
      <c r="N23" s="10">
        <v>1582</v>
      </c>
    </row>
    <row r="24" spans="1:14" x14ac:dyDescent="0.25">
      <c r="A24" t="s">
        <v>18</v>
      </c>
      <c r="B24" t="s">
        <v>28</v>
      </c>
      <c r="C24">
        <v>7</v>
      </c>
      <c r="I24" s="9" t="s">
        <v>13</v>
      </c>
      <c r="J24" s="10">
        <v>290</v>
      </c>
    </row>
    <row r="25" spans="1:14" ht="15.75" thickBot="1" x14ac:dyDescent="0.3">
      <c r="A25" t="s">
        <v>19</v>
      </c>
      <c r="B25" t="s">
        <v>3</v>
      </c>
      <c r="C25">
        <v>20</v>
      </c>
      <c r="I25" s="9" t="s">
        <v>11</v>
      </c>
      <c r="J25" s="10">
        <v>100</v>
      </c>
    </row>
    <row r="26" spans="1:14" ht="16.5" thickBot="1" x14ac:dyDescent="0.3">
      <c r="A26" t="s">
        <v>19</v>
      </c>
      <c r="B26" t="s">
        <v>4</v>
      </c>
      <c r="C26">
        <v>1</v>
      </c>
      <c r="H26" s="11">
        <v>3</v>
      </c>
      <c r="I26" s="9" t="s">
        <v>28</v>
      </c>
      <c r="J26" s="10">
        <v>283</v>
      </c>
    </row>
    <row r="27" spans="1:14" x14ac:dyDescent="0.25">
      <c r="A27" t="s">
        <v>19</v>
      </c>
      <c r="B27" t="s">
        <v>11</v>
      </c>
      <c r="C27">
        <v>1</v>
      </c>
      <c r="I27" s="9" t="s">
        <v>6</v>
      </c>
      <c r="J27" s="10">
        <v>150</v>
      </c>
    </row>
    <row r="28" spans="1:14" x14ac:dyDescent="0.25">
      <c r="A28" t="s">
        <v>19</v>
      </c>
      <c r="B28" t="s">
        <v>6</v>
      </c>
      <c r="C28">
        <v>3</v>
      </c>
      <c r="I28" s="9" t="s">
        <v>21</v>
      </c>
      <c r="J28" s="10">
        <v>4</v>
      </c>
    </row>
    <row r="29" spans="1:14" x14ac:dyDescent="0.25">
      <c r="A29" t="s">
        <v>19</v>
      </c>
      <c r="B29" t="s">
        <v>7</v>
      </c>
      <c r="C29">
        <v>1</v>
      </c>
      <c r="I29" s="9" t="s">
        <v>23</v>
      </c>
      <c r="J29" s="10">
        <v>1</v>
      </c>
    </row>
    <row r="30" spans="1:14" x14ac:dyDescent="0.25">
      <c r="A30" t="s">
        <v>19</v>
      </c>
      <c r="B30" t="s">
        <v>20</v>
      </c>
      <c r="C30">
        <v>8</v>
      </c>
      <c r="I30" s="9" t="s">
        <v>22</v>
      </c>
      <c r="J30" s="10">
        <v>47</v>
      </c>
    </row>
    <row r="31" spans="1:14" x14ac:dyDescent="0.25">
      <c r="A31" t="s">
        <v>19</v>
      </c>
      <c r="B31" t="s">
        <v>21</v>
      </c>
      <c r="C31">
        <v>4</v>
      </c>
      <c r="I31" s="9" t="s">
        <v>3</v>
      </c>
      <c r="J31" s="10">
        <v>20</v>
      </c>
    </row>
    <row r="32" spans="1:14" x14ac:dyDescent="0.25">
      <c r="A32" t="s">
        <v>19</v>
      </c>
      <c r="B32" t="s">
        <v>22</v>
      </c>
      <c r="C32">
        <v>46</v>
      </c>
      <c r="I32" s="9" t="s">
        <v>20</v>
      </c>
      <c r="J32" s="10">
        <v>8</v>
      </c>
    </row>
    <row r="33" spans="1:10" x14ac:dyDescent="0.25">
      <c r="A33" t="s">
        <v>19</v>
      </c>
      <c r="B33" t="s">
        <v>23</v>
      </c>
      <c r="C33">
        <v>1</v>
      </c>
      <c r="I33" s="9" t="s">
        <v>4</v>
      </c>
      <c r="J33" s="10">
        <v>130</v>
      </c>
    </row>
    <row r="34" spans="1:10" x14ac:dyDescent="0.25">
      <c r="A34" t="s">
        <v>24</v>
      </c>
      <c r="B34" t="s">
        <v>22</v>
      </c>
      <c r="C34">
        <v>1</v>
      </c>
      <c r="I34" s="9" t="s">
        <v>7</v>
      </c>
      <c r="J34" s="10">
        <v>90</v>
      </c>
    </row>
    <row r="35" spans="1:10" x14ac:dyDescent="0.25">
      <c r="A35" t="s">
        <v>24</v>
      </c>
      <c r="B35" t="s">
        <v>10</v>
      </c>
      <c r="C35">
        <v>1</v>
      </c>
      <c r="I35" s="9" t="s">
        <v>27</v>
      </c>
      <c r="J35" s="10">
        <v>379</v>
      </c>
    </row>
    <row r="36" spans="1:10" x14ac:dyDescent="0.25">
      <c r="A36" t="s">
        <v>24</v>
      </c>
      <c r="B36" t="s">
        <v>7</v>
      </c>
      <c r="C36">
        <v>1</v>
      </c>
      <c r="I36" s="9" t="s">
        <v>10</v>
      </c>
      <c r="J36" s="10">
        <v>65</v>
      </c>
    </row>
    <row r="37" spans="1:10" x14ac:dyDescent="0.25">
      <c r="A37" t="s">
        <v>24</v>
      </c>
      <c r="B37" t="s">
        <v>4</v>
      </c>
      <c r="C37">
        <v>2</v>
      </c>
      <c r="I37" s="9" t="s">
        <v>35</v>
      </c>
      <c r="J37" s="10">
        <v>1582</v>
      </c>
    </row>
    <row r="38" spans="1:10" x14ac:dyDescent="0.25">
      <c r="A38" t="s">
        <v>25</v>
      </c>
      <c r="B38" t="s">
        <v>6</v>
      </c>
      <c r="C38">
        <v>1</v>
      </c>
    </row>
    <row r="39" spans="1:10" x14ac:dyDescent="0.25">
      <c r="A39" t="s">
        <v>25</v>
      </c>
      <c r="B39" t="s">
        <v>16</v>
      </c>
      <c r="C39">
        <v>1</v>
      </c>
    </row>
    <row r="40" spans="1:10" x14ac:dyDescent="0.25">
      <c r="A40" t="s">
        <v>25</v>
      </c>
      <c r="B40" t="s">
        <v>10</v>
      </c>
      <c r="C40">
        <v>11</v>
      </c>
    </row>
    <row r="41" spans="1:10" x14ac:dyDescent="0.25">
      <c r="A41" t="s">
        <v>25</v>
      </c>
      <c r="B41" t="s">
        <v>7</v>
      </c>
      <c r="C41">
        <v>3</v>
      </c>
    </row>
    <row r="42" spans="1:10" x14ac:dyDescent="0.25">
      <c r="A42" t="s">
        <v>26</v>
      </c>
      <c r="B42" t="s">
        <v>6</v>
      </c>
      <c r="C42">
        <v>93</v>
      </c>
    </row>
    <row r="43" spans="1:10" x14ac:dyDescent="0.25">
      <c r="A43" t="s">
        <v>26</v>
      </c>
      <c r="B43" t="s">
        <v>13</v>
      </c>
      <c r="C43">
        <v>248</v>
      </c>
    </row>
    <row r="44" spans="1:10" x14ac:dyDescent="0.25">
      <c r="A44" t="s">
        <v>26</v>
      </c>
      <c r="B44" t="s">
        <v>27</v>
      </c>
      <c r="C44">
        <v>379</v>
      </c>
    </row>
    <row r="45" spans="1:10" x14ac:dyDescent="0.25">
      <c r="A45" t="s">
        <v>26</v>
      </c>
      <c r="B45" t="s">
        <v>7</v>
      </c>
      <c r="C45">
        <v>53</v>
      </c>
    </row>
    <row r="46" spans="1:10" x14ac:dyDescent="0.25">
      <c r="A46" t="s">
        <v>26</v>
      </c>
      <c r="B46" t="s">
        <v>10</v>
      </c>
      <c r="C46">
        <v>32</v>
      </c>
    </row>
    <row r="47" spans="1:10" x14ac:dyDescent="0.25">
      <c r="A47" t="s">
        <v>26</v>
      </c>
      <c r="B47" t="s">
        <v>11</v>
      </c>
      <c r="C47">
        <v>98</v>
      </c>
    </row>
    <row r="48" spans="1:10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A.</dc:creator>
  <cp:lastModifiedBy>Necati A.</cp:lastModifiedBy>
  <dcterms:created xsi:type="dcterms:W3CDTF">2020-09-01T17:18:12Z</dcterms:created>
  <dcterms:modified xsi:type="dcterms:W3CDTF">2025-12-10T02:21:04Z</dcterms:modified>
</cp:coreProperties>
</file>