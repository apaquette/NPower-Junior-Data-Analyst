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_rels/pivotTable2.xml.rels" ContentType="application/vnd.openxmlformats-package.relationships+xml"/>
  <Override PartName="/xl/pivotTables/_rels/pivotTable3.xml.rels" ContentType="application/vnd.openxmlformats-package.relationships+xml"/>
  <Override PartName="/xl/pivotTables/pivotTable3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dian-startup-funding" sheetId="1" state="visible" r:id="rId3"/>
    <sheet name="Pivot Table_indian-startup-fu-1" sheetId="2" state="visible" r:id="rId4"/>
    <sheet name="Pivot Table_indian-startup-fu-2" sheetId="3" state="visible" r:id="rId5"/>
    <sheet name="Pivot Table_indian-startup-fund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<sst xmlns="http://schemas.openxmlformats.org/spreadsheetml/2006/main" count="868" uniqueCount="448">
  <si>
    <t xml:space="preserve">Sr No</t>
  </si>
  <si>
    <t xml:space="preserve">Date</t>
  </si>
  <si>
    <t xml:space="preserve">Startup Name</t>
  </si>
  <si>
    <t xml:space="preserve">Industry Vertical</t>
  </si>
  <si>
    <t xml:space="preserve">SubVertical</t>
  </si>
  <si>
    <t xml:space="preserve">City  Location</t>
  </si>
  <si>
    <t xml:space="preserve">Investors Name</t>
  </si>
  <si>
    <t xml:space="preserve">InvestmentnType</t>
  </si>
  <si>
    <t xml:space="preserve">Amount in USD</t>
  </si>
  <si>
    <t xml:space="preserve">Remarks</t>
  </si>
  <si>
    <t xml:space="preserve">Column1</t>
  </si>
  <si>
    <t xml:space="preserve">Column2</t>
  </si>
  <si>
    <t xml:space="preserve">Column3</t>
  </si>
  <si>
    <t xml:space="preserve">Lenskart.com</t>
  </si>
  <si>
    <t xml:space="preserve">E-Commerce</t>
  </si>
  <si>
    <t xml:space="preserve">Online Eyewear Shopping Portal</t>
  </si>
  <si>
    <t xml:space="preserve">Faridabad</t>
  </si>
  <si>
    <t xml:space="preserve">SoftBank Vision Fund</t>
  </si>
  <si>
    <t xml:space="preserve">Series G</t>
  </si>
  <si>
    <t xml:space="preserve">VLOOKUP</t>
  </si>
  <si>
    <t xml:space="preserve">Healthians</t>
  </si>
  <si>
    <t xml:space="preserve">B2B-focused foodtech startup</t>
  </si>
  <si>
    <t xml:space="preserve">Food Solutions For Corporate</t>
  </si>
  <si>
    <t xml:space="preserve">Bengaluru</t>
  </si>
  <si>
    <t xml:space="preserve">Paytm, NPTK, Sabre Partners and Neoplux</t>
  </si>
  <si>
    <t xml:space="preserve">Series C</t>
  </si>
  <si>
    <t xml:space="preserve">Rein Games</t>
  </si>
  <si>
    <t xml:space="preserve">Licious</t>
  </si>
  <si>
    <t xml:space="preserve">Online Meat And Seafood Ordering Startup</t>
  </si>
  <si>
    <t xml:space="preserve">Vertex Growth Fund</t>
  </si>
  <si>
    <t xml:space="preserve">Series E</t>
  </si>
  <si>
    <t xml:space="preserve">CarDekho</t>
  </si>
  <si>
    <t xml:space="preserve">InCred</t>
  </si>
  <si>
    <t xml:space="preserve">Finance</t>
  </si>
  <si>
    <t xml:space="preserve">Non-Banking Financial Company</t>
  </si>
  <si>
    <t xml:space="preserve">Mumbai</t>
  </si>
  <si>
    <t xml:space="preserve">Debt Funding</t>
  </si>
  <si>
    <t xml:space="preserve">Dhruva Space</t>
  </si>
  <si>
    <t xml:space="preserve">Trell</t>
  </si>
  <si>
    <t xml:space="preserve">Video</t>
  </si>
  <si>
    <t xml:space="preserve">Experience Discovery Platform</t>
  </si>
  <si>
    <t xml:space="preserve">Ruizheng Investment</t>
  </si>
  <si>
    <t xml:space="preserve">Seed Round</t>
  </si>
  <si>
    <t xml:space="preserve">Paytm</t>
  </si>
  <si>
    <t xml:space="preserve">Rivigo</t>
  </si>
  <si>
    <t xml:space="preserve">Technology</t>
  </si>
  <si>
    <t xml:space="preserve">Logistics Services and Solutions</t>
  </si>
  <si>
    <t xml:space="preserve">Gurgaon</t>
  </si>
  <si>
    <t xml:space="preserve">SAIF Partners, Spring Canter Investment Ltd.</t>
  </si>
  <si>
    <t xml:space="preserve">Series F</t>
  </si>
  <si>
    <t xml:space="preserve">Aye Finance</t>
  </si>
  <si>
    <t xml:space="preserve">Ecozen</t>
  </si>
  <si>
    <t xml:space="preserve">Agritech</t>
  </si>
  <si>
    <t xml:space="preserve">Pune</t>
  </si>
  <si>
    <t xml:space="preserve">Sathguru Catalyzer Advisors</t>
  </si>
  <si>
    <t xml:space="preserve">Series A</t>
  </si>
  <si>
    <t xml:space="preserve">Clumio</t>
  </si>
  <si>
    <t xml:space="preserve">Gaming</t>
  </si>
  <si>
    <t xml:space="preserve">Real money based gaming startup</t>
  </si>
  <si>
    <t xml:space="preserve">Noida</t>
  </si>
  <si>
    <t xml:space="preserve">Manipal Education and Medical Group (MEMG)</t>
  </si>
  <si>
    <t xml:space="preserve">Digital Mall Asia</t>
  </si>
  <si>
    <t xml:space="preserve">Automobile</t>
  </si>
  <si>
    <t xml:space="preserve">Ping An Global Voyager Fund</t>
  </si>
  <si>
    <t xml:space="preserve">Series D</t>
  </si>
  <si>
    <t xml:space="preserve">Aerospace</t>
  </si>
  <si>
    <t xml:space="preserve">Satellite Communication</t>
  </si>
  <si>
    <t xml:space="preserve">Mumbai Angels, Ravikanth Reddy</t>
  </si>
  <si>
    <t xml:space="preserve">Seed</t>
  </si>
  <si>
    <t xml:space="preserve">FinTech</t>
  </si>
  <si>
    <t xml:space="preserve">Mobile Wallet</t>
  </si>
  <si>
    <t xml:space="preserve">Vijay Shekhar Sharma</t>
  </si>
  <si>
    <t xml:space="preserve">Funding Round</t>
  </si>
  <si>
    <t xml:space="preserve">Financial Services To MSMEs</t>
  </si>
  <si>
    <t xml:space="preserve">SaaS</t>
  </si>
  <si>
    <t xml:space="preserve">Recovery software</t>
  </si>
  <si>
    <t xml:space="preserve">San Jose,</t>
  </si>
  <si>
    <t xml:space="preserve">Altimeter Capital, Sutter Hill Ventures</t>
  </si>
  <si>
    <t xml:space="preserve">Virtual e-commerce platform</t>
  </si>
  <si>
    <t xml:space="preserve">Delhi</t>
  </si>
  <si>
    <t xml:space="preserve">Amour Infrastructure</t>
  </si>
  <si>
    <t xml:space="preserve">Seed Funding</t>
  </si>
  <si>
    <t xml:space="preserve">Furtados School of Music</t>
  </si>
  <si>
    <t xml:space="preserve">Education</t>
  </si>
  <si>
    <t xml:space="preserve">Music Education</t>
  </si>
  <si>
    <t xml:space="preserve">Tulangan</t>
  </si>
  <si>
    <t xml:space="preserve">IAN Fund and DSG Consumer Partners</t>
  </si>
  <si>
    <t xml:space="preserve">Health and Wellness</t>
  </si>
  <si>
    <t xml:space="preserve">Healthcare services</t>
  </si>
  <si>
    <t xml:space="preserve">DG Daiwa Ventures, DG Incubation</t>
  </si>
  <si>
    <t xml:space="preserve">Series B</t>
  </si>
  <si>
    <t xml:space="preserve">Medikabazaar</t>
  </si>
  <si>
    <t xml:space="preserve">Healthcare</t>
  </si>
  <si>
    <t xml:space="preserve">B2B platform for medical supplies</t>
  </si>
  <si>
    <t xml:space="preserve">Ackermans &amp; van Haaren, HealthQuad, Rebright Partners, Toppan Printing</t>
  </si>
  <si>
    <t xml:space="preserve">Burger Singh</t>
  </si>
  <si>
    <t xml:space="preserve">Food and Beverage</t>
  </si>
  <si>
    <t xml:space="preserve">Indian Burger Brand</t>
  </si>
  <si>
    <t xml:space="preserve">RB Investments</t>
  </si>
  <si>
    <t xml:space="preserve">Venture</t>
  </si>
  <si>
    <t xml:space="preserve">undisclosed</t>
  </si>
  <si>
    <t xml:space="preserve">Ninjacart</t>
  </si>
  <si>
    <t xml:space="preserve">B2B Marketing</t>
  </si>
  <si>
    <t xml:space="preserve">Trifecta Capital Advisors</t>
  </si>
  <si>
    <t xml:space="preserve">Vogo Automotive</t>
  </si>
  <si>
    <t xml:space="preserve">Last Mile Transportation</t>
  </si>
  <si>
    <t xml:space="preserve">Scooter sharing app</t>
  </si>
  <si>
    <t xml:space="preserve">Kormangala</t>
  </si>
  <si>
    <t xml:space="preserve">Matrix Partners, Stellaris Venture Partners, Kalaari Capital</t>
  </si>
  <si>
    <t xml:space="preserve">Misters</t>
  </si>
  <si>
    <t xml:space="preserve">Health and wellness</t>
  </si>
  <si>
    <t xml:space="preserve">Men's Health and Wellness brand</t>
  </si>
  <si>
    <t xml:space="preserve">Sauce.vc, Rainforest Ventures</t>
  </si>
  <si>
    <t xml:space="preserve">Freshworks</t>
  </si>
  <si>
    <t xml:space="preserve">Software</t>
  </si>
  <si>
    <t xml:space="preserve">Business and customer engagement tools</t>
  </si>
  <si>
    <t xml:space="preserve">San Francisco</t>
  </si>
  <si>
    <t xml:space="preserve">Sequoia, CapitalG, Accel</t>
  </si>
  <si>
    <t xml:space="preserve">Series H</t>
  </si>
  <si>
    <t xml:space="preserve">Sunstone Eduversity Pvt. Ltd</t>
  </si>
  <si>
    <t xml:space="preserve">Elearning</t>
  </si>
  <si>
    <t xml:space="preserve">Prime Venture Partners, LetsVenture, PS1 Venture and GlobalLogic co-founder Rajul Garg</t>
  </si>
  <si>
    <t xml:space="preserve">SuperGaming</t>
  </si>
  <si>
    <t xml:space="preserve">Video Games</t>
  </si>
  <si>
    <t xml:space="preserve">Social gaming platform</t>
  </si>
  <si>
    <t xml:space="preserve">Dream Incubator</t>
  </si>
  <si>
    <t xml:space="preserve">eBikeGo</t>
  </si>
  <si>
    <t xml:space="preserve">Electric bike rental</t>
  </si>
  <si>
    <t xml:space="preserve">Amritsar</t>
  </si>
  <si>
    <t xml:space="preserve">Startup Buddy</t>
  </si>
  <si>
    <t xml:space="preserve">The Man Company</t>
  </si>
  <si>
    <t xml:space="preserve">Consumer Goods</t>
  </si>
  <si>
    <t xml:space="preserve">Beauty and Grooming</t>
  </si>
  <si>
    <t xml:space="preserve">Ayushmann Khurana</t>
  </si>
  <si>
    <t xml:space="preserve">Corporate Round</t>
  </si>
  <si>
    <t xml:space="preserve">unknown</t>
  </si>
  <si>
    <t xml:space="preserve">Dunzo</t>
  </si>
  <si>
    <t xml:space="preserve">Customer Service</t>
  </si>
  <si>
    <t xml:space="preserve">Delivery Service</t>
  </si>
  <si>
    <t xml:space="preserve">Lightbox</t>
  </si>
  <si>
    <t xml:space="preserve">Udaan</t>
  </si>
  <si>
    <t xml:space="preserve">B2B</t>
  </si>
  <si>
    <t xml:space="preserve">Business development</t>
  </si>
  <si>
    <t xml:space="preserve">Altimeter Capital, DST Global</t>
  </si>
  <si>
    <t xml:space="preserve">FPL Technologies</t>
  </si>
  <si>
    <t xml:space="preserve">Financial Services</t>
  </si>
  <si>
    <t xml:space="preserve">Matrix Partners India, Sequoia India</t>
  </si>
  <si>
    <t xml:space="preserve">Maiden Round</t>
  </si>
  <si>
    <t xml:space="preserve">Cashflo</t>
  </si>
  <si>
    <t xml:space="preserve">Invoice discounting platform and SME lending marketplace</t>
  </si>
  <si>
    <t xml:space="preserve">SAIF Partners</t>
  </si>
  <si>
    <t xml:space="preserve">Digital F5</t>
  </si>
  <si>
    <t xml:space="preserve">Advertising, Marketing</t>
  </si>
  <si>
    <t xml:space="preserve">Digital marketing firm</t>
  </si>
  <si>
    <t xml:space="preserve">TIW Private Equity</t>
  </si>
  <si>
    <t xml:space="preserve">Private Equity Round</t>
  </si>
  <si>
    <t xml:space="preserve">3rdFlix</t>
  </si>
  <si>
    <t xml:space="preserve">Education Technology</t>
  </si>
  <si>
    <t xml:space="preserve">Hyderabad</t>
  </si>
  <si>
    <t xml:space="preserve">Exfinity Venture Partners</t>
  </si>
  <si>
    <t xml:space="preserve">pre-series A</t>
  </si>
  <si>
    <t xml:space="preserve">75F</t>
  </si>
  <si>
    <t xml:space="preserve">IoT</t>
  </si>
  <si>
    <t xml:space="preserve">Building automation system</t>
  </si>
  <si>
    <t xml:space="preserve">Burnsville</t>
  </si>
  <si>
    <t xml:space="preserve">Breakthrough Energy Ventures</t>
  </si>
  <si>
    <t xml:space="preserve">Myelin Foundry</t>
  </si>
  <si>
    <t xml:space="preserve">Information Technology</t>
  </si>
  <si>
    <t xml:space="preserve">Deep-technology</t>
  </si>
  <si>
    <t xml:space="preserve">Endiya Partners</t>
  </si>
  <si>
    <t xml:space="preserve">Atomberg Technology</t>
  </si>
  <si>
    <t xml:space="preserve">Consumer Technology</t>
  </si>
  <si>
    <t xml:space="preserve">Consumer Electronics, Home Appliances</t>
  </si>
  <si>
    <t xml:space="preserve">A91 Partners</t>
  </si>
  <si>
    <t xml:space="preserve">GOQii</t>
  </si>
  <si>
    <t xml:space="preserve">Wearable Fitness Bands</t>
  </si>
  <si>
    <t xml:space="preserve">Menlo Park</t>
  </si>
  <si>
    <t xml:space="preserve">Bennett Coleman and Company Ltd (BCCL)</t>
  </si>
  <si>
    <t xml:space="preserve">Vyapar App</t>
  </si>
  <si>
    <t xml:space="preserve">Accounting</t>
  </si>
  <si>
    <t xml:space="preserve">Mobile-based Accounting Software</t>
  </si>
  <si>
    <t xml:space="preserve">India Quotient, Axilor Ventures</t>
  </si>
  <si>
    <t xml:space="preserve">Rapido Bike Taxi</t>
  </si>
  <si>
    <t xml:space="preserve">Transportation</t>
  </si>
  <si>
    <t xml:space="preserve">Bike Taxi</t>
  </si>
  <si>
    <t xml:space="preserve">Westbridge Capital</t>
  </si>
  <si>
    <t xml:space="preserve">nan</t>
  </si>
  <si>
    <t xml:space="preserve">Zendrive</t>
  </si>
  <si>
    <t xml:space="preserve">Automotive</t>
  </si>
  <si>
    <t xml:space="preserve">Road Safety Analytics</t>
  </si>
  <si>
    <t xml:space="preserve">XL Innovate</t>
  </si>
  <si>
    <t xml:space="preserve">Lo! Foods</t>
  </si>
  <si>
    <t xml:space="preserve">Low carb food for Diabetics</t>
  </si>
  <si>
    <t xml:space="preserve">Rashmi Daga (founder, FreshMenu), Raveen Sastry (co-founder, Myntra) and Mitesh Shah (finance chief, BookMyShow)</t>
  </si>
  <si>
    <t xml:space="preserve">Tala</t>
  </si>
  <si>
    <t xml:space="preserve">Digital Lending Platform</t>
  </si>
  <si>
    <t xml:space="preserve">Santa Monica</t>
  </si>
  <si>
    <t xml:space="preserve">RPS Ventures</t>
  </si>
  <si>
    <t xml:space="preserve">AdmitKard</t>
  </si>
  <si>
    <t xml:space="preserve">EdTech</t>
  </si>
  <si>
    <t xml:space="preserve">University Admissions</t>
  </si>
  <si>
    <t xml:space="preserve">Growth DNA</t>
  </si>
  <si>
    <t xml:space="preserve">INDwealth</t>
  </si>
  <si>
    <t xml:space="preserve">Wealth Management</t>
  </si>
  <si>
    <t xml:space="preserve">Tiger Global Management</t>
  </si>
  <si>
    <t xml:space="preserve">Venture Round</t>
  </si>
  <si>
    <t xml:space="preserve">HungerBox</t>
  </si>
  <si>
    <t xml:space="preserve">B2B Foodtech</t>
  </si>
  <si>
    <t xml:space="preserve">One97 Communications Ltd.</t>
  </si>
  <si>
    <t xml:space="preserve">Mishry Reviews</t>
  </si>
  <si>
    <t xml:space="preserve">Services</t>
  </si>
  <si>
    <t xml:space="preserve">Product Review</t>
  </si>
  <si>
    <t xml:space="preserve">Vir Sanghvi</t>
  </si>
  <si>
    <t xml:space="preserve">Undisclosed</t>
  </si>
  <si>
    <t xml:space="preserve">Grofers</t>
  </si>
  <si>
    <t xml:space="preserve">Grocery Delivery</t>
  </si>
  <si>
    <t xml:space="preserve">Softbank Vision Fund</t>
  </si>
  <si>
    <t xml:space="preserve">Cars24</t>
  </si>
  <si>
    <t xml:space="preserve">Car Retail</t>
  </si>
  <si>
    <t xml:space="preserve">Gurugram</t>
  </si>
  <si>
    <t xml:space="preserve">MS Dhoni</t>
  </si>
  <si>
    <t xml:space="preserve">Uniphore</t>
  </si>
  <si>
    <t xml:space="preserve">Customer Service Platform</t>
  </si>
  <si>
    <t xml:space="preserve">Conversational AI</t>
  </si>
  <si>
    <t xml:space="preserve">Palo Alto</t>
  </si>
  <si>
    <t xml:space="preserve">March Capital Partners</t>
  </si>
  <si>
    <t xml:space="preserve">Meesho</t>
  </si>
  <si>
    <t xml:space="preserve">Social Commerce</t>
  </si>
  <si>
    <t xml:space="preserve">Naspers</t>
  </si>
  <si>
    <t xml:space="preserve">SC GG India Mobility Holdings LLC</t>
  </si>
  <si>
    <t xml:space="preserve">Progcap</t>
  </si>
  <si>
    <t xml:space="preserve">Supply Chain Management</t>
  </si>
  <si>
    <t xml:space="preserve">New Delhi</t>
  </si>
  <si>
    <t xml:space="preserve">Sequoia India</t>
  </si>
  <si>
    <t xml:space="preserve">MyPetrolPump</t>
  </si>
  <si>
    <t xml:space="preserve">Retail</t>
  </si>
  <si>
    <t xml:space="preserve">Fuel Delivery</t>
  </si>
  <si>
    <t xml:space="preserve">Seed Funding Round</t>
  </si>
  <si>
    <t xml:space="preserve">Alteria Capital</t>
  </si>
  <si>
    <t xml:space="preserve">VC Funds</t>
  </si>
  <si>
    <t xml:space="preserve">Azim Premji, Binny Bansal</t>
  </si>
  <si>
    <t xml:space="preserve">Single Venture</t>
  </si>
  <si>
    <t xml:space="preserve">Pine Labs</t>
  </si>
  <si>
    <t xml:space="preserve">Last-mile retail transaction technology</t>
  </si>
  <si>
    <t xml:space="preserve">Pine Labs Pte Ltd</t>
  </si>
  <si>
    <t xml:space="preserve">Moglix</t>
  </si>
  <si>
    <t xml:space="preserve">Industrial Tools and Equipments</t>
  </si>
  <si>
    <t xml:space="preserve">Singapore</t>
  </si>
  <si>
    <t xml:space="preserve">Composite Capital Management, Sequoia Capital India, Tiger Global Management</t>
  </si>
  <si>
    <t xml:space="preserve">"BYJU\\'S"</t>
  </si>
  <si>
    <t xml:space="preserve">Qatar Investment Authority</t>
  </si>
  <si>
    <t xml:space="preserve">Ezyhaul</t>
  </si>
  <si>
    <t xml:space="preserve">Tech</t>
  </si>
  <si>
    <t xml:space="preserve">Logistics</t>
  </si>
  <si>
    <t xml:space="preserve">Indus OS</t>
  </si>
  <si>
    <t xml:space="preserve">Smartphone Operating System</t>
  </si>
  <si>
    <t xml:space="preserve">Andheri</t>
  </si>
  <si>
    <t xml:space="preserve">Ventureast</t>
  </si>
  <si>
    <t xml:space="preserve">HealthAssure</t>
  </si>
  <si>
    <t xml:space="preserve">Health Care</t>
  </si>
  <si>
    <t xml:space="preserve">Primary care medical network</t>
  </si>
  <si>
    <t xml:space="preserve">Blume Ventures</t>
  </si>
  <si>
    <t xml:space="preserve">House of Msasaba</t>
  </si>
  <si>
    <t xml:space="preserve">Luxury Label</t>
  </si>
  <si>
    <t xml:space="preserve">Clothes and Apparel</t>
  </si>
  <si>
    <t xml:space="preserve">Binny Bansal</t>
  </si>
  <si>
    <t xml:space="preserve">Board Infinity</t>
  </si>
  <si>
    <t xml:space="preserve">Full-stack career platform</t>
  </si>
  <si>
    <t xml:space="preserve">Chembur</t>
  </si>
  <si>
    <t xml:space="preserve">Multiple Angel Investors</t>
  </si>
  <si>
    <t xml:space="preserve">Angel Round</t>
  </si>
  <si>
    <t xml:space="preserve">Daalchini Technologies</t>
  </si>
  <si>
    <t xml:space="preserve">Digital Vending Machine</t>
  </si>
  <si>
    <t xml:space="preserve">Artha Venture</t>
  </si>
  <si>
    <t xml:space="preserve">Ola Cabs</t>
  </si>
  <si>
    <t xml:space="preserve">Transport</t>
  </si>
  <si>
    <t xml:space="preserve">Cabs</t>
  </si>
  <si>
    <t xml:space="preserve">DIG Investment Ab, Deshe Holdings, Samih Toukan and Hussam Khoury</t>
  </si>
  <si>
    <t xml:space="preserve">Series J</t>
  </si>
  <si>
    <t xml:space="preserve">RenewBuy</t>
  </si>
  <si>
    <t xml:space="preserve">Auto Insurance</t>
  </si>
  <si>
    <t xml:space="preserve">Lok Capital, IIFL Wealth</t>
  </si>
  <si>
    <t xml:space="preserve">Atlan</t>
  </si>
  <si>
    <t xml:space="preserve">Big Data</t>
  </si>
  <si>
    <t xml:space="preserve">WaterBridge Ventures</t>
  </si>
  <si>
    <t xml:space="preserve">Pre-Series A</t>
  </si>
  <si>
    <t xml:space="preserve">WizCounsel</t>
  </si>
  <si>
    <t xml:space="preserve">Compliance</t>
  </si>
  <si>
    <t xml:space="preserve">Consulting</t>
  </si>
  <si>
    <t xml:space="preserve">Kapil Dev</t>
  </si>
  <si>
    <t xml:space="preserve">Angel</t>
  </si>
  <si>
    <t xml:space="preserve">Artificial Intelligence</t>
  </si>
  <si>
    <t xml:space="preserve">Speech Recognition</t>
  </si>
  <si>
    <t xml:space="preserve">Taramani</t>
  </si>
  <si>
    <t xml:space="preserve">Bolo App</t>
  </si>
  <si>
    <t xml:space="preserve">Digital Media</t>
  </si>
  <si>
    <t xml:space="preserve">Video Platform</t>
  </si>
  <si>
    <t xml:space="preserve">Nexus Venture Partners</t>
  </si>
  <si>
    <t xml:space="preserve">OkCredit</t>
  </si>
  <si>
    <t xml:space="preserve">Haryana</t>
  </si>
  <si>
    <t xml:space="preserve">Vogo Automotive Pvt. Ltd.</t>
  </si>
  <si>
    <t xml:space="preserve">Dockless Scooter Rental Company</t>
  </si>
  <si>
    <t xml:space="preserve">Karnataka</t>
  </si>
  <si>
    <t xml:space="preserve">Sistema.bio</t>
  </si>
  <si>
    <t xml:space="preserve">Agriculture</t>
  </si>
  <si>
    <t xml:space="preserve">Hybrid Reactor Biodigestor</t>
  </si>
  <si>
    <t xml:space="preserve">Nairobi</t>
  </si>
  <si>
    <t xml:space="preserve">Shell Foundation, DILA CAPITAL, Engie RDE Fund, EcoEnterprise Fund, EDFIMC (ElectriFI), Endeavor Catalyst Fund, CoCapital, Triodos, Alpha Mundi, and Lendahand</t>
  </si>
  <si>
    <t xml:space="preserve">Chakr Innovation</t>
  </si>
  <si>
    <t xml:space="preserve">Energy</t>
  </si>
  <si>
    <t xml:space="preserve">Renewable Energy</t>
  </si>
  <si>
    <t xml:space="preserve">IAN Fund</t>
  </si>
  <si>
    <t xml:space="preserve">Pratilipi</t>
  </si>
  <si>
    <t xml:space="preserve">E-Books</t>
  </si>
  <si>
    <t xml:space="preserve">Qiming Venture Partners</t>
  </si>
  <si>
    <t xml:space="preserve">Biz2Credit</t>
  </si>
  <si>
    <t xml:space="preserve">Online Lending Platform</t>
  </si>
  <si>
    <t xml:space="preserve">New York</t>
  </si>
  <si>
    <t xml:space="preserve">WestBridge Capital</t>
  </si>
  <si>
    <t xml:space="preserve">NoBroker</t>
  </si>
  <si>
    <t xml:space="preserve">Real Estate</t>
  </si>
  <si>
    <t xml:space="preserve">General Atlantic</t>
  </si>
  <si>
    <t xml:space="preserve">Bira91</t>
  </si>
  <si>
    <t xml:space="preserve">Brewery</t>
  </si>
  <si>
    <t xml:space="preserve">Anicut Capital</t>
  </si>
  <si>
    <t xml:space="preserve">BharatPe</t>
  </si>
  <si>
    <t xml:space="preserve">Insight Partners</t>
  </si>
  <si>
    <t xml:space="preserve">Recykal</t>
  </si>
  <si>
    <t xml:space="preserve">Waste Management Service</t>
  </si>
  <si>
    <t xml:space="preserve">Optimization</t>
  </si>
  <si>
    <t xml:space="preserve">Triton Investment Advisors, Pidilite Industries director Ajay Parekh</t>
  </si>
  <si>
    <t xml:space="preserve">pre-Series A</t>
  </si>
  <si>
    <t xml:space="preserve">Leegality</t>
  </si>
  <si>
    <t xml:space="preserve">Digital Documentation</t>
  </si>
  <si>
    <t xml:space="preserve">Mumbai/Bengaluru</t>
  </si>
  <si>
    <t xml:space="preserve">Mumbai Angels</t>
  </si>
  <si>
    <t xml:space="preserve">FabHotels</t>
  </si>
  <si>
    <t xml:space="preserve">Hospitality</t>
  </si>
  <si>
    <t xml:space="preserve">Goldman Sachs, Accel Partners and Qualcomm</t>
  </si>
  <si>
    <t xml:space="preserve">Avail Finance</t>
  </si>
  <si>
    <t xml:space="preserve">Matrix Partners</t>
  </si>
  <si>
    <t xml:space="preserve">Agara Labs</t>
  </si>
  <si>
    <t xml:space="preserve">Deep-Tech</t>
  </si>
  <si>
    <t xml:space="preserve">Blume Ventures and RTP Global</t>
  </si>
  <si>
    <t xml:space="preserve">Sixth Sense Ventures</t>
  </si>
  <si>
    <t xml:space="preserve">GlowRoad</t>
  </si>
  <si>
    <t xml:space="preserve">E-commerce</t>
  </si>
  <si>
    <t xml:space="preserve">Korea Investment Partners, Vertex Ventures</t>
  </si>
  <si>
    <t xml:space="preserve">Ather Energy</t>
  </si>
  <si>
    <t xml:space="preserve">Electric Vehicle</t>
  </si>
  <si>
    <t xml:space="preserve">Sachin Bansal</t>
  </si>
  <si>
    <t xml:space="preserve">FreshVnF</t>
  </si>
  <si>
    <t xml:space="preserve">Agtech</t>
  </si>
  <si>
    <t xml:space="preserve">Fresh Agriculture Produces</t>
  </si>
  <si>
    <t xml:space="preserve">Equanimity Ventures</t>
  </si>
  <si>
    <t xml:space="preserve">Ola Electric</t>
  </si>
  <si>
    <t xml:space="preserve">Tata Sons</t>
  </si>
  <si>
    <t xml:space="preserve">Saahas Zero Waste</t>
  </si>
  <si>
    <t xml:space="preserve">C4D Partners</t>
  </si>
  <si>
    <t xml:space="preserve">Venture - Series Unknown</t>
  </si>
  <si>
    <t xml:space="preserve">StyleDotMe</t>
  </si>
  <si>
    <t xml:space="preserve">Fashion and Shopping</t>
  </si>
  <si>
    <t xml:space="preserve">Indian Angel Network and other angel investors, Innov8 founder Ritesh Malik, Josh Talks founders Supriya Paul and Shobha Banga, and former Hero Corporate president Rohit Chanana</t>
  </si>
  <si>
    <t xml:space="preserve">Bridge Round</t>
  </si>
  <si>
    <t xml:space="preserve">Zenoti</t>
  </si>
  <si>
    <t xml:space="preserve">Saas</t>
  </si>
  <si>
    <t xml:space="preserve">Beauty and Wellness Industry</t>
  </si>
  <si>
    <t xml:space="preserve">BlackBuck</t>
  </si>
  <si>
    <t xml:space="preserve">Goldman Sachs Investment Partners and Silicon Valley-based Accel, Wellington, Sequoia Capital, B Capital, LightStreet, Sands Capital and International Finance Corporation,</t>
  </si>
  <si>
    <t xml:space="preserve">My Healthcare</t>
  </si>
  <si>
    <t xml:space="preserve">Software Solutions</t>
  </si>
  <si>
    <t xml:space="preserve">Bengaluru and Gurugram</t>
  </si>
  <si>
    <t xml:space="preserve">KrazyBee</t>
  </si>
  <si>
    <t xml:space="preserve">Lending Platform</t>
  </si>
  <si>
    <t xml:space="preserve">BAC Acquisitions, Unifi AIF, BRD Securities, Northern R Capital</t>
  </si>
  <si>
    <t xml:space="preserve">Debt</t>
  </si>
  <si>
    <t xml:space="preserve">Shuttl</t>
  </si>
  <si>
    <t xml:space="preserve">Bus Aggregation</t>
  </si>
  <si>
    <t xml:space="preserve">New Atlantic Ventures</t>
  </si>
  <si>
    <t xml:space="preserve">Increff</t>
  </si>
  <si>
    <t xml:space="preserve">Supply-chain technology solutions</t>
  </si>
  <si>
    <t xml:space="preserve">021 Capita, Binny Bansal</t>
  </si>
  <si>
    <t xml:space="preserve">Kuvera</t>
  </si>
  <si>
    <t xml:space="preserve">Eight Roads</t>
  </si>
  <si>
    <t xml:space="preserve">Tripoto</t>
  </si>
  <si>
    <t xml:space="preserve">Social Media</t>
  </si>
  <si>
    <t xml:space="preserve">Travel</t>
  </si>
  <si>
    <t xml:space="preserve">Orchid India, Hornbill Orchid India Fund, Chiratae Ventures (formerly IDG Ventures), 3one4 Capital, Lasmer NV</t>
  </si>
  <si>
    <t xml:space="preserve">Medlife</t>
  </si>
  <si>
    <t xml:space="preserve">Online Medicine</t>
  </si>
  <si>
    <t xml:space="preserve">Prasid Uno Family Trust</t>
  </si>
  <si>
    <t xml:space="preserve">Private Equity</t>
  </si>
  <si>
    <t xml:space="preserve">Azah</t>
  </si>
  <si>
    <t xml:space="preserve">Organic wellness</t>
  </si>
  <si>
    <t xml:space="preserve">Unnamed angel investors</t>
  </si>
  <si>
    <t xml:space="preserve">Setu</t>
  </si>
  <si>
    <t xml:space="preserve">Fintech</t>
  </si>
  <si>
    <t xml:space="preserve">Banking</t>
  </si>
  <si>
    <t xml:space="preserve">Lightspeed India Partners</t>
  </si>
  <si>
    <t xml:space="preserve">CleverTap</t>
  </si>
  <si>
    <t xml:space="preserve">Mobile analytics and marketing</t>
  </si>
  <si>
    <t xml:space="preserve">Sequoia India, Tiger Global Management, Accel Partners</t>
  </si>
  <si>
    <t xml:space="preserve">Kabadiwala</t>
  </si>
  <si>
    <t xml:space="preserve">Waste Management</t>
  </si>
  <si>
    <t xml:space="preserve">Bhopal</t>
  </si>
  <si>
    <t xml:space="preserve">Unilever, Beehive Capital Advisor, ABCOM Investments, Parekh Marine Transport,</t>
  </si>
  <si>
    <t xml:space="preserve">Toppr</t>
  </si>
  <si>
    <t xml:space="preserve">Edtech</t>
  </si>
  <si>
    <t xml:space="preserve">E-learning</t>
  </si>
  <si>
    <t xml:space="preserve">Milestone</t>
  </si>
  <si>
    <t xml:space="preserve">Debt and Preference capital</t>
  </si>
  <si>
    <t xml:space="preserve">Craftsvilla</t>
  </si>
  <si>
    <t xml:space="preserve">Fashion and Apparel</t>
  </si>
  <si>
    <t xml:space="preserve">Supera Pte Ltd</t>
  </si>
  <si>
    <t xml:space="preserve">Inhouse Funding</t>
  </si>
  <si>
    <t xml:space="preserve">Unacademy</t>
  </si>
  <si>
    <t xml:space="preserve">Kalyan Krishnamurthy</t>
  </si>
  <si>
    <t xml:space="preserve">Seed/ Angel Funding</t>
  </si>
  <si>
    <t xml:space="preserve">NanoClean Global</t>
  </si>
  <si>
    <t xml:space="preserve">Nanotechnology</t>
  </si>
  <si>
    <t xml:space="preserve">Anti-Pollution</t>
  </si>
  <si>
    <t xml:space="preserve">LetsVenture, PitchRight Venture, 91SpringBoard, AL Nour International Holdings and Mark V Investments</t>
  </si>
  <si>
    <t xml:space="preserve">Zilingo</t>
  </si>
  <si>
    <t xml:space="preserve">Ecommerce</t>
  </si>
  <si>
    <t xml:space="preserve">Fashion &amp; Apparel</t>
  </si>
  <si>
    <t xml:space="preserve">India/Singapore</t>
  </si>
  <si>
    <t xml:space="preserve">Sequoia Capital and Temasek Holdings, EDBI, Burda Principal Investments, and Sofina</t>
  </si>
  <si>
    <t xml:space="preserve">FleetX</t>
  </si>
  <si>
    <t xml:space="preserve">AI</t>
  </si>
  <si>
    <t xml:space="preserve">India Quotient and LetsVenture\\xe2\\x80\\x99s Angel Fund</t>
  </si>
  <si>
    <t xml:space="preserve">Pre Series A</t>
  </si>
  <si>
    <t xml:space="preserve">Vyome Therapeutics Inc.</t>
  </si>
  <si>
    <t xml:space="preserve">Specialty pharmaceutical</t>
  </si>
  <si>
    <t xml:space="preserve">India/US</t>
  </si>
  <si>
    <t xml:space="preserve">Iron Pillar, Perceptive Advisors, Romulus Capital and Kalaari Capital</t>
  </si>
  <si>
    <t xml:space="preserve">Samunnati Financial Intermediation &amp; Services Pvt. Ltd</t>
  </si>
  <si>
    <t xml:space="preserve">Non-banking financial company</t>
  </si>
  <si>
    <t xml:space="preserve">Chennai</t>
  </si>
  <si>
    <t xml:space="preserve">MASSIF, a Dutch government fund</t>
  </si>
  <si>
    <t xml:space="preserve">Debt-Funding</t>
  </si>
  <si>
    <t xml:space="preserve">Online Marketplace</t>
  </si>
  <si>
    <t xml:space="preserve">Jaipur</t>
  </si>
  <si>
    <t xml:space="preserve">Sequoia India, Hillhouse Capital, Alphabet\\xe2\\x80\\x99s growth investment arm Capital G and Axis Bank</t>
  </si>
  <si>
    <t xml:space="preserve">Count - Industry Vertical</t>
  </si>
  <si>
    <t xml:space="preserve">Count - City  Location</t>
  </si>
  <si>
    <t xml:space="preserve">- all -</t>
  </si>
  <si>
    <t xml:space="preserve">Sum - Amount in USD*</t>
  </si>
  <si>
    <t xml:space="preserve">Total Result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</si>
</sst>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0"/>
      <name val="Arial"/>
      <family val="2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8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9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5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6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7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48"/>
                <c:pt idx="0">
                  <c:v>Accounting</c:v>
                </c:pt>
                <c:pt idx="1">
                  <c:v>Advertising, Marketing</c:v>
                </c:pt>
                <c:pt idx="2">
                  <c:v>Aerospace</c:v>
                </c:pt>
                <c:pt idx="3">
                  <c:v>Agriculture</c:v>
                </c:pt>
                <c:pt idx="4">
                  <c:v>Agtech</c:v>
                </c:pt>
                <c:pt idx="5">
                  <c:v>AI</c:v>
                </c:pt>
                <c:pt idx="6">
                  <c:v>Artificial Intelligence</c:v>
                </c:pt>
                <c:pt idx="7">
                  <c:v>Automobile</c:v>
                </c:pt>
                <c:pt idx="8">
                  <c:v>Automotive</c:v>
                </c:pt>
                <c:pt idx="9">
                  <c:v>B2B</c:v>
                </c:pt>
                <c:pt idx="10">
                  <c:v>B2B Marketing</c:v>
                </c:pt>
                <c:pt idx="11">
                  <c:v>B2B-focused foodtech startup</c:v>
                </c:pt>
                <c:pt idx="12">
                  <c:v>Compliance</c:v>
                </c:pt>
                <c:pt idx="13">
                  <c:v>Consumer Goods</c:v>
                </c:pt>
                <c:pt idx="14">
                  <c:v>Consumer Technology</c:v>
                </c:pt>
                <c:pt idx="15">
                  <c:v>Customer Service</c:v>
                </c:pt>
                <c:pt idx="16">
                  <c:v>Customer Service Platform</c:v>
                </c:pt>
                <c:pt idx="17">
                  <c:v>Deep-Tech</c:v>
                </c:pt>
                <c:pt idx="18">
                  <c:v>Digital Media</c:v>
                </c:pt>
                <c:pt idx="19">
                  <c:v>E-Commerce</c:v>
                </c:pt>
                <c:pt idx="20">
                  <c:v>Ecommerce</c:v>
                </c:pt>
                <c:pt idx="21">
                  <c:v>EdTech</c:v>
                </c:pt>
                <c:pt idx="22">
                  <c:v>Education</c:v>
                </c:pt>
                <c:pt idx="23">
                  <c:v>Energy</c:v>
                </c:pt>
                <c:pt idx="24">
                  <c:v>Finance</c:v>
                </c:pt>
                <c:pt idx="25">
                  <c:v>FinTech</c:v>
                </c:pt>
                <c:pt idx="26">
                  <c:v>Food and Beverage</c:v>
                </c:pt>
                <c:pt idx="27">
                  <c:v>Gaming</c:v>
                </c:pt>
                <c:pt idx="28">
                  <c:v>Health and Wellness</c:v>
                </c:pt>
                <c:pt idx="29">
                  <c:v>Health Care</c:v>
                </c:pt>
                <c:pt idx="30">
                  <c:v>Healthcare</c:v>
                </c:pt>
                <c:pt idx="31">
                  <c:v>Information Technology</c:v>
                </c:pt>
                <c:pt idx="32">
                  <c:v>IoT</c:v>
                </c:pt>
                <c:pt idx="33">
                  <c:v>Last Mile Transportation</c:v>
                </c:pt>
                <c:pt idx="34">
                  <c:v>Luxury Label</c:v>
                </c:pt>
                <c:pt idx="35">
                  <c:v>Nanotechnology</c:v>
                </c:pt>
                <c:pt idx="36">
                  <c:v>Retail</c:v>
                </c:pt>
                <c:pt idx="37">
                  <c:v>SaaS</c:v>
                </c:pt>
                <c:pt idx="38">
                  <c:v>Services</c:v>
                </c:pt>
                <c:pt idx="39">
                  <c:v>Social Media</c:v>
                </c:pt>
                <c:pt idx="40">
                  <c:v>Software</c:v>
                </c:pt>
                <c:pt idx="41">
                  <c:v>Tech</c:v>
                </c:pt>
                <c:pt idx="42">
                  <c:v>Technology</c:v>
                </c:pt>
                <c:pt idx="43">
                  <c:v>Transport</c:v>
                </c:pt>
                <c:pt idx="44">
                  <c:v>Transportation</c:v>
                </c:pt>
                <c:pt idx="45">
                  <c:v>Video</c:v>
                </c:pt>
                <c:pt idx="46">
                  <c:v>Video Games</c:v>
                </c:pt>
                <c:pt idx="47">
                  <c:v>Waste Management Service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4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18</c:v>
                </c:pt>
                <c:pt idx="20">
                  <c:v>1</c:v>
                </c:pt>
                <c:pt idx="21">
                  <c:v>5</c:v>
                </c:pt>
                <c:pt idx="22">
                  <c:v>2</c:v>
                </c:pt>
                <c:pt idx="23">
                  <c:v>1</c:v>
                </c:pt>
                <c:pt idx="24">
                  <c:v>8</c:v>
                </c:pt>
                <c:pt idx="25">
                  <c:v>9</c:v>
                </c:pt>
                <c:pt idx="26">
                  <c:v>5</c:v>
                </c:pt>
                <c:pt idx="27">
                  <c:v>1</c:v>
                </c:pt>
                <c:pt idx="28">
                  <c:v>5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2</c:v>
                </c:pt>
              </c:numCache>
            </c:numRef>
          </c:val>
        </c:ser>
        <c:gapWidth val="100"/>
        <c:overlap val="0"/>
        <c:axId val="33077728"/>
        <c:axId val="11478761"/>
      </c:barChart>
      <c:catAx>
        <c:axId val="33077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11478761"/>
        <c:crosses val="autoZero"/>
        <c:auto val="1"/>
        <c:lblAlgn val="ctr"/>
        <c:lblOffset val="100"/>
        <c:noMultiLvlLbl val="0"/>
      </c:catAx>
      <c:valAx>
        <c:axId val="1147876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3307772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sz="1300" strike="noStrike" u="none">
                <a:uFillTx/>
                <a:latin typeface="Arial"/>
              </a:rPr>
              <a:t>Count of Cities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pt@label 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pt@categories</c:f>
              <c:strCache>
                <c:ptCount val="34"/>
                <c:pt idx="0">
                  <c:v>Amritsar</c:v>
                </c:pt>
                <c:pt idx="1">
                  <c:v>Andheri</c:v>
                </c:pt>
                <c:pt idx="2">
                  <c:v>Bengaluru</c:v>
                </c:pt>
                <c:pt idx="3">
                  <c:v>Bengaluru and Gurugram</c:v>
                </c:pt>
                <c:pt idx="4">
                  <c:v>Bhopal</c:v>
                </c:pt>
                <c:pt idx="5">
                  <c:v>Burnsville</c:v>
                </c:pt>
                <c:pt idx="6">
                  <c:v>Chembur</c:v>
                </c:pt>
                <c:pt idx="7">
                  <c:v>Chennai</c:v>
                </c:pt>
                <c:pt idx="8">
                  <c:v>Delhi</c:v>
                </c:pt>
                <c:pt idx="9">
                  <c:v>Faridabad</c:v>
                </c:pt>
                <c:pt idx="10">
                  <c:v>Gurgaon</c:v>
                </c:pt>
                <c:pt idx="11">
                  <c:v>Gurugram</c:v>
                </c:pt>
                <c:pt idx="12">
                  <c:v>Haryana</c:v>
                </c:pt>
                <c:pt idx="13">
                  <c:v>Hyderabad</c:v>
                </c:pt>
                <c:pt idx="14">
                  <c:v>India/Singapore</c:v>
                </c:pt>
                <c:pt idx="15">
                  <c:v>India/US</c:v>
                </c:pt>
                <c:pt idx="16">
                  <c:v>Jaipur</c:v>
                </c:pt>
                <c:pt idx="17">
                  <c:v>Karnataka</c:v>
                </c:pt>
                <c:pt idx="18">
                  <c:v>Kormangala</c:v>
                </c:pt>
                <c:pt idx="19">
                  <c:v>Menlo Park</c:v>
                </c:pt>
                <c:pt idx="20">
                  <c:v>Mumbai</c:v>
                </c:pt>
                <c:pt idx="21">
                  <c:v>Mumbai/Bengaluru</c:v>
                </c:pt>
                <c:pt idx="22">
                  <c:v>Nairobi</c:v>
                </c:pt>
                <c:pt idx="23">
                  <c:v>New Delhi</c:v>
                </c:pt>
                <c:pt idx="24">
                  <c:v>New York</c:v>
                </c:pt>
                <c:pt idx="25">
                  <c:v>Noida</c:v>
                </c:pt>
                <c:pt idx="26">
                  <c:v>Palo Alto</c:v>
                </c:pt>
                <c:pt idx="27">
                  <c:v>Pune</c:v>
                </c:pt>
                <c:pt idx="28">
                  <c:v>San Francisco</c:v>
                </c:pt>
                <c:pt idx="29">
                  <c:v>San Jose,</c:v>
                </c:pt>
                <c:pt idx="30">
                  <c:v>Santa Monica</c:v>
                </c:pt>
                <c:pt idx="31">
                  <c:v>Singapore</c:v>
                </c:pt>
                <c:pt idx="32">
                  <c:v>Taramani</c:v>
                </c:pt>
                <c:pt idx="33">
                  <c:v>Tulangan</c:v>
                </c:pt>
              </c:strCache>
            </c:strRef>
          </c:cat>
          <c:val>
            <c:numRef>
              <c:f>pt@data 0</c:f>
              <c:numCache>
                <c:formatCode>General</c:formatCode>
                <c:ptCount val="34"/>
                <c:pt idx="0">
                  <c:v>1</c:v>
                </c:pt>
                <c:pt idx="1">
                  <c:v>1</c:v>
                </c:pt>
                <c:pt idx="2">
                  <c:v>31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0">
                  <c:v>15</c:v>
                </c:pt>
                <c:pt idx="11">
                  <c:v>3</c:v>
                </c:pt>
                <c:pt idx="12">
                  <c:v>1</c:v>
                </c:pt>
                <c:pt idx="13">
                  <c:v>3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2</c:v>
                </c:pt>
                <c:pt idx="19">
                  <c:v>1</c:v>
                </c:pt>
                <c:pt idx="20">
                  <c:v>12</c:v>
                </c:pt>
                <c:pt idx="21">
                  <c:v>1</c:v>
                </c:pt>
                <c:pt idx="22">
                  <c:v>1</c:v>
                </c:pt>
                <c:pt idx="23">
                  <c:v>9</c:v>
                </c:pt>
                <c:pt idx="24">
                  <c:v>1</c:v>
                </c:pt>
                <c:pt idx="25">
                  <c:v>4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gapWidth val="100"/>
        <c:overlap val="0"/>
        <c:axId val="86530775"/>
        <c:axId val="47543490"/>
      </c:barChart>
      <c:catAx>
        <c:axId val="8653077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47543490"/>
        <c:crosses val="autoZero"/>
        <c:auto val="1"/>
        <c:lblAlgn val="ctr"/>
        <c:lblOffset val="100"/>
        <c:noMultiLvlLbl val="0"/>
      </c:catAx>
      <c:valAx>
        <c:axId val="4754349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900" strike="noStrike" u="none">
                    <a:uFillTx/>
                    <a:latin typeface="Arial"/>
                  </a:rPr>
                  <a:t>Cities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uFillTx/>
                <a:latin typeface="Arial"/>
              </a:defRPr>
            </a:pPr>
          </a:p>
        </c:txPr>
        <c:crossAx val="8653077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340560</xdr:colOff>
      <xdr:row>7</xdr:row>
      <xdr:rowOff>0</xdr:rowOff>
    </xdr:from>
    <xdr:to>
      <xdr:col>13</xdr:col>
      <xdr:colOff>181440</xdr:colOff>
      <xdr:row>37</xdr:row>
      <xdr:rowOff>71640</xdr:rowOff>
    </xdr:to>
    <xdr:graphicFrame>
      <xdr:nvGraphicFramePr>
        <xdr:cNvPr id="1" name=""/>
        <xdr:cNvGraphicFramePr/>
      </xdr:nvGraphicFramePr>
      <xdr:xfrm>
        <a:off x="3174480" y="1137960"/>
        <a:ext cx="8781840" cy="494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98280</xdr:colOff>
      <xdr:row>8</xdr:row>
      <xdr:rowOff>9720</xdr:rowOff>
    </xdr:from>
    <xdr:to>
      <xdr:col>10</xdr:col>
      <xdr:colOff>169200</xdr:colOff>
      <xdr:row>27</xdr:row>
      <xdr:rowOff>157680</xdr:rowOff>
    </xdr:to>
    <xdr:graphicFrame>
      <xdr:nvGraphicFramePr>
        <xdr:cNvPr id="2" name=""/>
        <xdr:cNvGraphicFramePr/>
      </xdr:nvGraphicFramePr>
      <xdr:xfrm>
        <a:off x="3184920" y="1310040"/>
        <a:ext cx="5760720" cy="32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11" createdVersion="3">
  <cacheSource type="worksheet">
    <worksheetSource ref="A1:M112" sheet="indian-startup-funding"/>
  </cacheSource>
  <cacheFields count="13">
    <cacheField name="Sr No" numFmtId="0">
      <sharedItems containsSemiMixedTypes="0" containsString="0" containsNumber="1" containsInteger="1" minValue="8" maxValue="119" count="111"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7"/>
        <n v="118"/>
        <n v="119"/>
      </sharedItems>
    </cacheField>
    <cacheField name="Date" numFmtId="0">
      <sharedItems containsSemiMixedTypes="0" containsNonDate="0" containsDate="1" containsString="0" minDate="2019-01-03T00:00:00" maxDate="2020-06-06T00:00:00" count="67">
        <d v="2019-01-03T00:00:00"/>
        <d v="2019-01-04T00:00:00"/>
        <d v="2019-02-01T00:00:00"/>
        <d v="2019-02-08T00:00:00"/>
        <d v="2019-02-13T00:00:00"/>
        <d v="2019-04-10T00:00:00"/>
        <d v="2019-04-11T00:00:00"/>
        <d v="2019-04-12T00:00:00"/>
        <d v="2019-04-13T00:00:00"/>
        <d v="2019-04-16T00:00:00"/>
        <d v="2019-04-17T00:00:00"/>
        <d v="2019-04-19T00:00:00"/>
        <d v="2019-05-01T00:00:00"/>
        <d v="2019-05-02T00:00:00"/>
        <d v="2019-05-05T00:00:00"/>
        <d v="2019-05-06T00:00:00"/>
        <d v="2019-05-28T00:00:00"/>
        <d v="2019-05-30T00:00:00"/>
        <d v="2019-05-31T00:00:00"/>
        <d v="2019-06-03T00:00:00"/>
        <d v="2019-06-04T00:00:00"/>
        <d v="2019-06-05T00:00:00"/>
        <d v="2019-06-06T00:00:00"/>
        <d v="2019-06-08T00:00:00"/>
        <d v="2019-06-10T00:00:00"/>
        <d v="2019-07-01T00:00:00"/>
        <d v="2019-07-02T00:00:00"/>
        <d v="2019-07-03T00:00:00"/>
        <d v="2019-07-04T00:00:00"/>
        <d v="2019-07-08T00:00:00"/>
        <d v="2019-07-09T00:00:00"/>
        <d v="2019-07-10T00:00:00"/>
        <d v="2019-07-11T00:00:00"/>
        <d v="2019-08-01T00:00:00"/>
        <d v="2019-08-12T00:00:00"/>
        <d v="2019-08-13T00:00:00"/>
        <d v="2019-08-19T00:00:00"/>
        <d v="2019-08-21T00:00:00"/>
        <d v="2019-08-22T00:00:00"/>
        <d v="2019-08-23T00:00:00"/>
        <d v="2019-08-27T00:00:00"/>
        <d v="2019-09-03T00:00:00"/>
        <d v="2019-09-04T00:00:00"/>
        <d v="2019-09-05T00:00:00"/>
        <d v="2019-10-02T00:00:00"/>
        <d v="2019-10-04T00:00:00"/>
        <d v="2019-10-21T00:00:00"/>
        <d v="2019-11-11T00:00:00"/>
        <d v="2019-11-12T00:00:00"/>
        <d v="2019-11-13T00:00:00"/>
        <d v="2019-11-14T00:00:00"/>
        <d v="2019-11-15T00:00:00"/>
        <d v="2019-11-17T00:00:00"/>
        <d v="2019-11-18T00:00:00"/>
        <d v="2019-11-19T00:00:00"/>
        <d v="2019-11-20T00:00:00"/>
        <d v="2019-11-25T00:00:00"/>
        <d v="2019-12-03T00:00:00"/>
        <d v="2019-12-06T00:00:00"/>
        <d v="2019-12-11T00:00:00"/>
        <d v="2019-12-12T00:00:00"/>
        <d v="2019-12-13T00:00:00"/>
        <d v="2019-12-14T00:00:00"/>
        <d v="2019-12-16T00:00:00"/>
        <d v="2019-12-17T00:00:00"/>
        <d v="2019-12-20T00:00:00"/>
        <d v="2020-06-06T00:00:00"/>
      </sharedItems>
    </cacheField>
    <cacheField name="Startup Name" numFmtId="0">
      <sharedItems count="106">
        <s v="&quot;BYJU\\'S&quot;"/>
        <s v="3rdFlix"/>
        <s v="75F"/>
        <s v="AdmitKard"/>
        <s v="Agara Labs"/>
        <s v="Alteria Capital"/>
        <s v="Ather Energy"/>
        <s v="Atlan"/>
        <s v="Atomberg Technology"/>
        <s v="Avail Finance"/>
        <s v="Aye Finance"/>
        <s v="Azah"/>
        <s v="BharatPe"/>
        <s v="Bira91"/>
        <s v="Biz2Credit"/>
        <s v="BlackBuck"/>
        <s v="Board Infinity"/>
        <s v="Bolo App"/>
        <s v="Burger Singh"/>
        <s v="CarDekho"/>
        <s v="Cars24"/>
        <s v="Cashflo"/>
        <s v="Chakr Innovation"/>
        <s v="CleverTap"/>
        <s v="Clumio"/>
        <s v="Craftsvilla"/>
        <s v="Daalchini Technologies"/>
        <s v="Dhruva Space"/>
        <s v="Digital F5"/>
        <s v="Digital Mall Asia"/>
        <s v="Dunzo"/>
        <s v="eBikeGo"/>
        <s v="Ecozen"/>
        <s v="Ezyhaul"/>
        <s v="FabHotels"/>
        <s v="FleetX"/>
        <s v="FPL Technologies"/>
        <s v="FreshVnF"/>
        <s v="Freshworks"/>
        <s v="Furtados School of Music"/>
        <s v="GlowRoad"/>
        <s v="GOQii"/>
        <s v="Grofers"/>
        <s v="HealthAssure"/>
        <s v="Healthians"/>
        <s v="House of Msasaba"/>
        <s v="HungerBox"/>
        <s v="InCred"/>
        <s v="Increff"/>
        <s v="Indus OS"/>
        <s v="INDwealth"/>
        <s v="Kabadiwala"/>
        <s v="KrazyBee"/>
        <s v="Kuvera"/>
        <s v="Leegality"/>
        <s v="Lenskart.com"/>
        <s v="Licious"/>
        <s v="Lo! Foods"/>
        <s v="Medikabazaar"/>
        <s v="Medlife"/>
        <s v="Meesho"/>
        <s v="Mishry Reviews"/>
        <s v="Misters"/>
        <s v="Moglix"/>
        <s v="My Healthcare"/>
        <s v="Myelin Foundry"/>
        <s v="MyPetrolPump"/>
        <s v="NanoClean Global"/>
        <s v="Ninjacart"/>
        <s v="NoBroker"/>
        <s v="OkCredit"/>
        <s v="Ola Cabs"/>
        <s v="Ola Electric"/>
        <s v="Paytm"/>
        <s v="Pine Labs"/>
        <s v="Pratilipi"/>
        <s v="Progcap"/>
        <s v="Rapido Bike Taxi"/>
        <s v="Recykal"/>
        <s v="Rein Games"/>
        <s v="RenewBuy"/>
        <s v="Rivigo"/>
        <s v="Saahas Zero Waste"/>
        <s v="Samunnati Financial Intermediation &amp; Services Pvt. Ltd"/>
        <s v="Setu"/>
        <s v="Shuttl"/>
        <s v="Sistema.bio"/>
        <s v="StyleDotMe"/>
        <s v="Sunstone Eduversity Pvt. Ltd"/>
        <s v="SuperGaming"/>
        <s v="Tala"/>
        <s v="The Man Company"/>
        <s v="Toppr"/>
        <s v="Trell"/>
        <s v="Tripoto"/>
        <s v="Udaan"/>
        <s v="Unacademy"/>
        <s v="Uniphore"/>
        <s v="Vogo Automotive"/>
        <s v="Vogo Automotive Pvt. Ltd."/>
        <s v="Vyapar App"/>
        <s v="Vyome Therapeutics Inc."/>
        <s v="WizCounsel"/>
        <s v="Zendrive"/>
        <s v="Zenoti"/>
        <s v="Zilingo"/>
      </sharedItems>
    </cacheField>
    <cacheField name="Industry Vertical" numFmtId="0">
      <sharedItems count="48">
        <s v="Accounting"/>
        <s v="Advertising, Marketing"/>
        <s v="Aerospace"/>
        <s v="Agriculture"/>
        <s v="Agtech"/>
        <s v="AI"/>
        <s v="Artificial Intelligence"/>
        <s v="Automobile"/>
        <s v="Automotive"/>
        <s v="B2B"/>
        <s v="B2B Marketing"/>
        <s v="B2B-focused foodtech startup"/>
        <s v="Compliance"/>
        <s v="Consumer Goods"/>
        <s v="Consumer Technology"/>
        <s v="Customer Service"/>
        <s v="Customer Service Platform"/>
        <s v="Deep-Tech"/>
        <s v="Digital Media"/>
        <s v="E-Commerce"/>
        <s v="Ecommerce"/>
        <s v="EdTech"/>
        <s v="Education"/>
        <s v="Energy"/>
        <s v="Finance"/>
        <s v="FinTech"/>
        <s v="Food and Beverage"/>
        <s v="Gaming"/>
        <s v="Health and Wellness"/>
        <s v="Health Care"/>
        <s v="Healthcare"/>
        <s v="Information Technology"/>
        <s v="IoT"/>
        <s v="Last Mile Transportation"/>
        <s v="Luxury Label"/>
        <s v="Nanotechnology"/>
        <s v="Retail"/>
        <s v="SaaS"/>
        <s v="Services"/>
        <s v="Social Media"/>
        <s v="Software"/>
        <s v="Tech"/>
        <s v="Technology"/>
        <s v="Transport"/>
        <s v="Transportation"/>
        <s v="Video"/>
        <s v="Video Games"/>
        <s v="Waste Management Service"/>
      </sharedItems>
    </cacheField>
    <cacheField name="SubVertical" numFmtId="0">
      <sharedItems count="100">
        <s v="Agritech"/>
        <s v="Anti-Pollution"/>
        <s v="Artificial Intelligence"/>
        <s v="Auto Insurance"/>
        <s v="Automobile"/>
        <s v="Automotive"/>
        <s v="B2B Foodtech"/>
        <s v="B2B platform for medical supplies"/>
        <s v="Banking"/>
        <s v="Beauty and Grooming"/>
        <s v="Beauty and Wellness Industry"/>
        <s v="Big Data"/>
        <s v="Bike Taxi"/>
        <s v="Brewery"/>
        <s v="Building automation system"/>
        <s v="Bus Aggregation"/>
        <s v="Business and customer engagement tools"/>
        <s v="Business development"/>
        <s v="Cabs"/>
        <s v="Car Retail"/>
        <s v="Clothes and Apparel"/>
        <s v="Consulting"/>
        <s v="Consumer Electronics, Home Appliances"/>
        <s v="Conversational AI"/>
        <s v="Deep-technology"/>
        <s v="Delivery Service"/>
        <s v="Digital Documentation"/>
        <s v="Digital Lending Platform"/>
        <s v="Digital marketing firm"/>
        <s v="Digital Vending Machine"/>
        <s v="Dockless Scooter Rental Company"/>
        <s v="E-Books"/>
        <s v="E-learning"/>
        <s v="Education"/>
        <s v="Education Technology"/>
        <s v="Elearning"/>
        <s v="Electric bike rental"/>
        <s v="Electric Vehicle"/>
        <s v="Experience Discovery Platform"/>
        <s v="Fashion &amp; Apparel"/>
        <s v="Fashion and Apparel"/>
        <s v="Fashion and Shopping"/>
        <s v="Financial Services"/>
        <s v="Financial Services To MSMEs"/>
        <s v="FinTech"/>
        <s v="Food Solutions For Corporate"/>
        <s v="Fresh Agriculture Produces"/>
        <s v="Fuel Delivery"/>
        <s v="Full-stack career platform"/>
        <s v="Grocery Delivery"/>
        <s v="Healthcare services"/>
        <s v="Hospitality"/>
        <s v="Hybrid Reactor Biodigestor"/>
        <s v="Indian Burger Brand"/>
        <s v="Industrial Tools and Equipments"/>
        <s v="Invoice discounting platform and SME lending marketplace"/>
        <s v="Last-mile retail transaction technology"/>
        <s v="Lending Platform"/>
        <s v="Logistics"/>
        <s v="Logistics Services and Solutions"/>
        <s v="Low carb food for Diabetics"/>
        <s v="Men's Health and Wellness brand"/>
        <s v="Mobile analytics and marketing"/>
        <s v="Mobile Wallet"/>
        <s v="Mobile-based Accounting Software"/>
        <s v="Music Education"/>
        <s v="Non-Banking Financial Company"/>
        <s v="Online Eyewear Shopping Portal"/>
        <s v="Online Lending Platform"/>
        <s v="Online Marketplace"/>
        <s v="Online Meat And Seafood Ordering Startup"/>
        <s v="Online Medicine"/>
        <s v="Optimization"/>
        <s v="Organic wellness"/>
        <s v="Primary care medical network"/>
        <s v="Product Review"/>
        <s v="Real Estate"/>
        <s v="Real money based gaming startup"/>
        <s v="Recovery software"/>
        <s v="Renewable Energy"/>
        <s v="Retail"/>
        <s v="Road Safety Analytics"/>
        <s v="Satellite Communication"/>
        <s v="Scooter sharing app"/>
        <s v="Smartphone Operating System"/>
        <s v="Social Commerce"/>
        <s v="Social gaming platform"/>
        <s v="Software Solutions"/>
        <s v="Specialty pharmaceutical"/>
        <s v="Speech Recognition"/>
        <s v="Supply Chain Management"/>
        <s v="Supply-chain technology solutions"/>
        <s v="Travel"/>
        <s v="University Admissions"/>
        <s v="VC Funds"/>
        <s v="Video Platform"/>
        <s v="Virtual e-commerce platform"/>
        <s v="Waste Management"/>
        <s v="Wealth Management"/>
        <s v="Wearable Fitness Bands"/>
      </sharedItems>
    </cacheField>
    <cacheField name="City  Location" numFmtId="0">
      <sharedItems count="34">
        <s v="Amritsar"/>
        <s v="Andheri"/>
        <s v="Bengaluru"/>
        <s v="Bengaluru and Gurugram"/>
        <s v="Bhopal"/>
        <s v="Burnsville"/>
        <s v="Chembur"/>
        <s v="Chennai"/>
        <s v="Delhi"/>
        <s v="Faridabad"/>
        <s v="Gurgaon"/>
        <s v="Gurugram"/>
        <s v="Haryana"/>
        <s v="Hyderabad"/>
        <s v="India/Singapore"/>
        <s v="India/US"/>
        <s v="Jaipur"/>
        <s v="Karnataka"/>
        <s v="Kormangala"/>
        <s v="Menlo Park"/>
        <s v="Mumbai"/>
        <s v="Mumbai/Bengaluru"/>
        <s v="Nairobi"/>
        <s v="New Delhi"/>
        <s v="New York"/>
        <s v="Noida"/>
        <s v="Palo Alto"/>
        <s v="Pune"/>
        <s v="San Francisco"/>
        <s v="San Jose,"/>
        <s v="Santa Monica"/>
        <s v="Singapore"/>
        <s v="Taramani"/>
        <s v="Tulangan"/>
      </sharedItems>
    </cacheField>
    <cacheField name="Investors Name" numFmtId="0">
      <sharedItems containsBlank="1" count="104">
        <s v="021 Capita, Binny Bansal"/>
        <s v="A91 Partners"/>
        <s v="Ackermans &amp; van Haaren, HealthQuad, Rebright Partners, Toppan Printing"/>
        <s v="Alteria Capital"/>
        <s v="Altimeter Capital, DST Global"/>
        <s v="Altimeter Capital, Sutter Hill Ventures"/>
        <s v="Amour Infrastructure"/>
        <s v="Anicut Capital"/>
        <s v="Artha Venture"/>
        <s v="Ayushmann Khurana"/>
        <s v="Azim Premji, Binny Bansal"/>
        <s v="BAC Acquisitions, Unifi AIF, BRD Securities, Northern R Capital"/>
        <s v="Bennett Coleman and Company Ltd (BCCL)"/>
        <s v="Binny Bansal"/>
        <s v="Blume Ventures"/>
        <s v="Blume Ventures and RTP Global"/>
        <s v="Breakthrough Energy Ventures"/>
        <s v="C4D Partners"/>
        <s v="Composite Capital Management, Sequoia Capital India, Tiger Global Management"/>
        <s v="DG Daiwa Ventures, DG Incubation"/>
        <s v="DIG Investment Ab, Deshe Holdings, Samih Toukan and Hussam Khoury"/>
        <s v="Dream Incubator"/>
        <s v="Eight Roads"/>
        <s v="Endiya Partners"/>
        <s v="Equanimity Ventures"/>
        <s v="Exfinity Venture Partners"/>
        <s v="FinTech"/>
        <s v="General Atlantic"/>
        <s v="Goldman Sachs Investment Partners and Silicon Valley-based Accel, Wellington, Sequoia Capital, B Capital, LightStreet, Sands Capital and International Finance Corporation,"/>
        <s v="Goldman Sachs, Accel Partners and Qualcomm"/>
        <s v="Growth DNA"/>
        <s v="IAN Fund"/>
        <s v="IAN Fund and DSG Consumer Partners"/>
        <s v="India Quotient and LetsVenture\\xe2\\x80\\x99s Angel Fund"/>
        <s v="India Quotient, Axilor Ventures"/>
        <s v="Indian Angel Network and other angel investors, Innov8 founder Ritesh Malik, Josh Talks founders Supriya Paul and Shobha Banga, and former Hero Corporate president Rohit Chanana"/>
        <s v="Insight Partners"/>
        <s v="Iron Pillar, Perceptive Advisors, Romulus Capital and Kalaari Capital"/>
        <s v="Kalyan Krishnamurthy"/>
        <s v="Kapil Dev"/>
        <s v="Korea Investment Partners, Vertex Ventures"/>
        <s v="LetsVenture, PitchRight Venture, 91SpringBoard, AL Nour International Holdings and Mark V Investments"/>
        <s v="Lightbox"/>
        <s v="Lightspeed India Partners"/>
        <s v="Lok Capital, IIFL Wealth"/>
        <s v="Manipal Education and Medical Group (MEMG)"/>
        <s v="March Capital Partners"/>
        <s v="MASSIF, a Dutch government fund"/>
        <s v="Matrix Partners"/>
        <s v="Matrix Partners India, Sequoia India"/>
        <s v="Matrix Partners, Stellaris Venture Partners, Kalaari Capital"/>
        <s v="Milestone"/>
        <s v="MS Dhoni"/>
        <s v="Multiple Angel Investors"/>
        <s v="Mumbai Angels"/>
        <s v="Mumbai Angels, Ravikanth Reddy"/>
        <s v="Naspers"/>
        <s v="New Atlantic Ventures"/>
        <s v="Nexus Venture Partners"/>
        <s v="One97 Communications Ltd."/>
        <s v="Orchid India, Hornbill Orchid India Fund, Chiratae Ventures (formerly IDG Ventures), 3one4 Capital, Lasmer NV"/>
        <s v="Paytm, NPTK, Sabre Partners and Neoplux"/>
        <s v="Pine Labs Pte Ltd"/>
        <s v="Ping An Global Voyager Fund"/>
        <s v="Prasid Uno Family Trust"/>
        <s v="Prime Venture Partners, LetsVenture, PS1 Venture and GlobalLogic co-founder Rajul Garg"/>
        <s v="Qatar Investment Authority"/>
        <s v="Qiming Venture Partners"/>
        <s v="Rashmi Daga (founder, FreshMenu), Raveen Sastry (co-founder, Myntra) and Mitesh Shah (finance chief, BookMyShow)"/>
        <s v="RB Investments"/>
        <s v="RPS Ventures"/>
        <s v="Ruizheng Investment"/>
        <s v="Sachin Bansal"/>
        <s v="SAIF Partners"/>
        <s v="SAIF Partners, Spring Canter Investment Ltd."/>
        <s v="Sathguru Catalyzer Advisors"/>
        <s v="Sauce.vc, Rainforest Ventures"/>
        <s v="SC GG India Mobility Holdings LLC"/>
        <s v="Sequoia Capital and Temasek Holdings, EDBI, Burda Principal Investments, and Sofina"/>
        <s v="Sequoia India"/>
        <s v="Sequoia India, Hillhouse Capital, Alphabet\\xe2\\x80\\x99s growth investment arm Capital G and Axis Bank"/>
        <s v="Sequoia India, Tiger Global Management, Accel Partners"/>
        <s v="Sequoia, CapitalG, Accel"/>
        <s v="Shell Foundation, DILA CAPITAL, Engie RDE Fund, EcoEnterprise Fund, EDFIMC (ElectriFI), Endeavor Catalyst Fund, CoCapital, Triodos, Alpha Mundi, and Lendahand"/>
        <s v="Sixth Sense Ventures"/>
        <s v="SoftBank Vision Fund"/>
        <s v="Startup Buddy"/>
        <s v="Supera Pte Ltd"/>
        <s v="Tata Sons"/>
        <s v="Tiger Global Management"/>
        <s v="TIW Private Equity"/>
        <s v="Trifecta Capital Advisors"/>
        <s v="Triton Investment Advisors, Pidilite Industries director Ajay Parekh"/>
        <s v="Undisclosed"/>
        <s v="Unilever, Beehive Capital Advisor, ABCOM Investments, Parekh Marine Transport,"/>
        <s v="Unnamed angel investors"/>
        <s v="Ventureast"/>
        <s v="Vertex Growth Fund"/>
        <s v="Vijay Shekhar Sharma"/>
        <s v="Vir Sanghvi"/>
        <s v="WaterBridge Ventures"/>
        <s v="Westbridge Capital"/>
        <s v="XL Innovate"/>
        <m/>
      </sharedItems>
    </cacheField>
    <cacheField name="InvestmentnType" numFmtId="0">
      <sharedItems containsBlank="1" count="34">
        <s v="Angel"/>
        <s v="Angel Round"/>
        <s v="Bridge Round"/>
        <s v="Corporate Round"/>
        <s v="Debt"/>
        <s v="Debt and Preference capital"/>
        <s v="Debt Funding"/>
        <s v="Debt-Funding"/>
        <s v="Funding Round"/>
        <s v="Inhouse Funding"/>
        <s v="Maiden Round"/>
        <s v="Pre Series A"/>
        <s v="pre-series A"/>
        <s v="Private Equity"/>
        <s v="Private Equity Round"/>
        <s v="Seed"/>
        <s v="Seed Funding"/>
        <s v="Seed Funding Round"/>
        <s v="Seed Round"/>
        <s v="Seed/ Angel Funding"/>
        <s v="Series A"/>
        <s v="Series B"/>
        <s v="Series C"/>
        <s v="Series D"/>
        <s v="Series E"/>
        <s v="Series F"/>
        <s v="Series G"/>
        <s v="Series H"/>
        <s v="Series J"/>
        <s v="Single Venture"/>
        <s v="Venture"/>
        <s v="Venture - Series Unknown"/>
        <s v="Venture Round"/>
        <m/>
      </sharedItems>
    </cacheField>
    <cacheField name="Amount in USD" numFmtId="0">
      <sharedItems containsMixedTypes="1" containsNumber="1" minValue="145000" maxValue="3900000000" count="78">
        <n v="145000"/>
        <n v="200000"/>
        <n v="300000"/>
        <n v="307000"/>
        <n v="319605"/>
        <n v="430200"/>
        <n v="430665"/>
        <n v="486000"/>
        <n v="500000"/>
        <n v="600000"/>
        <n v="868600"/>
        <n v="1000000"/>
        <n v="1300000"/>
        <n v="1500000"/>
        <n v="1600000"/>
        <n v="2000000"/>
        <n v="2443495"/>
        <n v="2500000"/>
        <n v="2739034.68"/>
        <n v="3000000"/>
        <n v="3300000"/>
        <n v="3400000"/>
        <n v="3500000"/>
        <n v="3584000"/>
        <n v="3591375"/>
        <n v="4500000"/>
        <n v="4889975.54"/>
        <n v="5000000"/>
        <n v="5600000"/>
        <n v="5750000"/>
        <n v="5900000"/>
        <n v="6000000"/>
        <n v="6320820"/>
        <n v="6590000"/>
        <n v="9000000"/>
        <n v="10000000"/>
        <n v="11000000"/>
        <n v="11500000"/>
        <n v="12000000"/>
        <n v="14342000"/>
        <n v="15000000"/>
        <n v="15109500"/>
        <n v="15500000"/>
        <n v="15800000"/>
        <n v="16000000"/>
        <n v="17000000"/>
        <n v="17411265"/>
        <n v="18000000"/>
        <n v="19000000"/>
        <n v="20000000"/>
        <n v="22000000"/>
        <n v="26000000"/>
        <n v="30000000"/>
        <n v="37000000"/>
        <n v="38080000"/>
        <n v="45000000"/>
        <n v="50000000"/>
        <n v="51000000"/>
        <n v="52000000"/>
        <n v="60000000"/>
        <n v="70000000"/>
        <n v="75000000"/>
        <n v="110000000"/>
        <n v="125000000"/>
        <n v="135000000"/>
        <n v="140000000"/>
        <n v="150000000"/>
        <n v="200000000"/>
        <n v="220000000"/>
        <n v="226000000"/>
        <n v="231000000"/>
        <n v="283000000"/>
        <n v="450000000"/>
        <n v="585000000"/>
        <n v="1000000000"/>
        <n v="3900000000"/>
        <s v="undisclosed"/>
        <s v="unknown"/>
      </sharedItems>
    </cacheField>
    <cacheField name="Remarks" numFmtId="0">
      <sharedItems containsBlank="1" count="2">
        <s v="nan"/>
        <m/>
      </sharedItems>
    </cacheField>
    <cacheField name="Column1" numFmtId="0">
      <sharedItems containsBlank="1" count="2">
        <s v="VLOOKUP"/>
        <m/>
      </sharedItems>
    </cacheField>
    <cacheField name="Column2" numFmtId="0">
      <sharedItems containsBlank="1" count="9">
        <s v="Aye Finance"/>
        <s v="CarDekho"/>
        <s v="Clumio"/>
        <s v="Dhruva Space"/>
        <s v="Digital Mall Asia"/>
        <s v="Paytm"/>
        <s v="Rein Games"/>
        <s v="Startup Name"/>
        <m/>
      </sharedItems>
    </cacheField>
    <cacheField name="Column3" numFmtId="0">
      <sharedItems containsBlank="1" containsMixedTypes="1" containsNumber="1" containsInteger="1" minValue="17411265" maxValue="1000000000" count="8">
        <n v="17411265"/>
        <n v="50000000"/>
        <n v="70000000"/>
        <n v="135000000"/>
        <n v="220000000"/>
        <n v="1000000000"/>
        <s v="Amount in USD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1">
  <r>
    <x v="9"/>
    <x v="65"/>
    <x v="55"/>
    <x v="19"/>
    <x v="67"/>
    <x v="9"/>
    <x v="85"/>
    <x v="26"/>
    <x v="70"/>
    <x v="1"/>
    <x v="0"/>
    <x v="7"/>
    <x v="6"/>
  </r>
  <r>
    <x v="4"/>
    <x v="64"/>
    <x v="44"/>
    <x v="11"/>
    <x v="45"/>
    <x v="2"/>
    <x v="61"/>
    <x v="22"/>
    <x v="38"/>
    <x v="1"/>
    <x v="1"/>
    <x v="6"/>
    <x v="1"/>
  </r>
  <r>
    <x v="5"/>
    <x v="63"/>
    <x v="56"/>
    <x v="19"/>
    <x v="70"/>
    <x v="2"/>
    <x v="97"/>
    <x v="24"/>
    <x v="52"/>
    <x v="1"/>
    <x v="1"/>
    <x v="1"/>
    <x v="2"/>
  </r>
  <r>
    <x v="6"/>
    <x v="63"/>
    <x v="47"/>
    <x v="24"/>
    <x v="66"/>
    <x v="20"/>
    <x v="103"/>
    <x v="6"/>
    <x v="30"/>
    <x v="1"/>
    <x v="1"/>
    <x v="3"/>
    <x v="1"/>
  </r>
  <r>
    <x v="7"/>
    <x v="62"/>
    <x v="93"/>
    <x v="45"/>
    <x v="38"/>
    <x v="2"/>
    <x v="71"/>
    <x v="18"/>
    <x v="15"/>
    <x v="1"/>
    <x v="1"/>
    <x v="5"/>
    <x v="5"/>
  </r>
  <r>
    <x v="3"/>
    <x v="61"/>
    <x v="81"/>
    <x v="42"/>
    <x v="59"/>
    <x v="10"/>
    <x v="74"/>
    <x v="25"/>
    <x v="49"/>
    <x v="1"/>
    <x v="1"/>
    <x v="0"/>
    <x v="0"/>
  </r>
  <r>
    <x v="0"/>
    <x v="60"/>
    <x v="32"/>
    <x v="42"/>
    <x v="0"/>
    <x v="27"/>
    <x v="75"/>
    <x v="20"/>
    <x v="31"/>
    <x v="1"/>
    <x v="1"/>
    <x v="2"/>
    <x v="3"/>
  </r>
  <r>
    <x v="8"/>
    <x v="59"/>
    <x v="79"/>
    <x v="27"/>
    <x v="77"/>
    <x v="25"/>
    <x v="45"/>
    <x v="18"/>
    <x v="56"/>
    <x v="1"/>
    <x v="1"/>
    <x v="4"/>
    <x v="4"/>
  </r>
  <r>
    <x v="1"/>
    <x v="58"/>
    <x v="19"/>
    <x v="19"/>
    <x v="4"/>
    <x v="10"/>
    <x v="63"/>
    <x v="23"/>
    <x v="60"/>
    <x v="1"/>
    <x v="1"/>
    <x v="8"/>
    <x v="7"/>
  </r>
  <r>
    <x v="2"/>
    <x v="57"/>
    <x v="27"/>
    <x v="2"/>
    <x v="82"/>
    <x v="2"/>
    <x v="55"/>
    <x v="15"/>
    <x v="56"/>
    <x v="1"/>
    <x v="1"/>
    <x v="8"/>
    <x v="7"/>
  </r>
  <r>
    <x v="24"/>
    <x v="56"/>
    <x v="73"/>
    <x v="25"/>
    <x v="63"/>
    <x v="25"/>
    <x v="98"/>
    <x v="8"/>
    <x v="74"/>
    <x v="1"/>
    <x v="1"/>
    <x v="8"/>
    <x v="7"/>
  </r>
  <r>
    <x v="16"/>
    <x v="55"/>
    <x v="10"/>
    <x v="25"/>
    <x v="43"/>
    <x v="10"/>
    <x v="26"/>
    <x v="6"/>
    <x v="46"/>
    <x v="1"/>
    <x v="1"/>
    <x v="8"/>
    <x v="7"/>
  </r>
  <r>
    <x v="18"/>
    <x v="55"/>
    <x v="24"/>
    <x v="37"/>
    <x v="78"/>
    <x v="29"/>
    <x v="5"/>
    <x v="22"/>
    <x v="64"/>
    <x v="1"/>
    <x v="1"/>
    <x v="8"/>
    <x v="7"/>
  </r>
  <r>
    <x v="20"/>
    <x v="54"/>
    <x v="29"/>
    <x v="19"/>
    <x v="96"/>
    <x v="8"/>
    <x v="6"/>
    <x v="16"/>
    <x v="68"/>
    <x v="1"/>
    <x v="1"/>
    <x v="8"/>
    <x v="7"/>
  </r>
  <r>
    <x v="23"/>
    <x v="54"/>
    <x v="39"/>
    <x v="22"/>
    <x v="65"/>
    <x v="33"/>
    <x v="32"/>
    <x v="33"/>
    <x v="67"/>
    <x v="1"/>
    <x v="1"/>
    <x v="8"/>
    <x v="7"/>
  </r>
  <r>
    <x v="14"/>
    <x v="53"/>
    <x v="44"/>
    <x v="28"/>
    <x v="50"/>
    <x v="10"/>
    <x v="19"/>
    <x v="21"/>
    <x v="38"/>
    <x v="1"/>
    <x v="1"/>
    <x v="8"/>
    <x v="7"/>
  </r>
  <r>
    <x v="21"/>
    <x v="53"/>
    <x v="58"/>
    <x v="30"/>
    <x v="7"/>
    <x v="20"/>
    <x v="2"/>
    <x v="21"/>
    <x v="43"/>
    <x v="1"/>
    <x v="1"/>
    <x v="8"/>
    <x v="7"/>
  </r>
  <r>
    <x v="13"/>
    <x v="52"/>
    <x v="18"/>
    <x v="26"/>
    <x v="53"/>
    <x v="10"/>
    <x v="69"/>
    <x v="30"/>
    <x v="76"/>
    <x v="1"/>
    <x v="1"/>
    <x v="8"/>
    <x v="7"/>
  </r>
  <r>
    <x v="15"/>
    <x v="51"/>
    <x v="68"/>
    <x v="10"/>
    <x v="0"/>
    <x v="2"/>
    <x v="91"/>
    <x v="6"/>
    <x v="51"/>
    <x v="1"/>
    <x v="1"/>
    <x v="8"/>
    <x v="7"/>
  </r>
  <r>
    <x v="22"/>
    <x v="51"/>
    <x v="98"/>
    <x v="33"/>
    <x v="83"/>
    <x v="18"/>
    <x v="50"/>
    <x v="21"/>
    <x v="71"/>
    <x v="1"/>
    <x v="1"/>
    <x v="8"/>
    <x v="7"/>
  </r>
  <r>
    <x v="11"/>
    <x v="50"/>
    <x v="62"/>
    <x v="28"/>
    <x v="61"/>
    <x v="10"/>
    <x v="76"/>
    <x v="21"/>
    <x v="7"/>
    <x v="1"/>
    <x v="1"/>
    <x v="8"/>
    <x v="7"/>
  </r>
  <r>
    <x v="10"/>
    <x v="49"/>
    <x v="38"/>
    <x v="40"/>
    <x v="16"/>
    <x v="28"/>
    <x v="82"/>
    <x v="27"/>
    <x v="66"/>
    <x v="1"/>
    <x v="1"/>
    <x v="8"/>
    <x v="7"/>
  </r>
  <r>
    <x v="12"/>
    <x v="49"/>
    <x v="88"/>
    <x v="22"/>
    <x v="35"/>
    <x v="10"/>
    <x v="65"/>
    <x v="15"/>
    <x v="13"/>
    <x v="1"/>
    <x v="1"/>
    <x v="8"/>
    <x v="7"/>
  </r>
  <r>
    <x v="17"/>
    <x v="48"/>
    <x v="89"/>
    <x v="46"/>
    <x v="86"/>
    <x v="27"/>
    <x v="21"/>
    <x v="16"/>
    <x v="12"/>
    <x v="1"/>
    <x v="1"/>
    <x v="8"/>
    <x v="7"/>
  </r>
  <r>
    <x v="19"/>
    <x v="47"/>
    <x v="31"/>
    <x v="33"/>
    <x v="36"/>
    <x v="0"/>
    <x v="86"/>
    <x v="15"/>
    <x v="2"/>
    <x v="1"/>
    <x v="1"/>
    <x v="8"/>
    <x v="7"/>
  </r>
  <r>
    <x v="27"/>
    <x v="46"/>
    <x v="91"/>
    <x v="13"/>
    <x v="9"/>
    <x v="10"/>
    <x v="9"/>
    <x v="3"/>
    <x v="77"/>
    <x v="1"/>
    <x v="1"/>
    <x v="8"/>
    <x v="7"/>
  </r>
  <r>
    <x v="25"/>
    <x v="45"/>
    <x v="30"/>
    <x v="15"/>
    <x v="25"/>
    <x v="2"/>
    <x v="42"/>
    <x v="23"/>
    <x v="55"/>
    <x v="1"/>
    <x v="1"/>
    <x v="8"/>
    <x v="7"/>
  </r>
  <r>
    <x v="26"/>
    <x v="44"/>
    <x v="95"/>
    <x v="9"/>
    <x v="17"/>
    <x v="2"/>
    <x v="4"/>
    <x v="23"/>
    <x v="73"/>
    <x v="1"/>
    <x v="1"/>
    <x v="8"/>
    <x v="7"/>
  </r>
  <r>
    <x v="28"/>
    <x v="43"/>
    <x v="36"/>
    <x v="25"/>
    <x v="42"/>
    <x v="27"/>
    <x v="49"/>
    <x v="10"/>
    <x v="25"/>
    <x v="1"/>
    <x v="1"/>
    <x v="8"/>
    <x v="7"/>
  </r>
  <r>
    <x v="29"/>
    <x v="42"/>
    <x v="21"/>
    <x v="25"/>
    <x v="55"/>
    <x v="20"/>
    <x v="73"/>
    <x v="20"/>
    <x v="20"/>
    <x v="1"/>
    <x v="1"/>
    <x v="8"/>
    <x v="7"/>
  </r>
  <r>
    <x v="30"/>
    <x v="42"/>
    <x v="28"/>
    <x v="1"/>
    <x v="28"/>
    <x v="20"/>
    <x v="90"/>
    <x v="14"/>
    <x v="31"/>
    <x v="1"/>
    <x v="1"/>
    <x v="8"/>
    <x v="7"/>
  </r>
  <r>
    <x v="31"/>
    <x v="42"/>
    <x v="1"/>
    <x v="37"/>
    <x v="34"/>
    <x v="13"/>
    <x v="25"/>
    <x v="12"/>
    <x v="27"/>
    <x v="1"/>
    <x v="1"/>
    <x v="8"/>
    <x v="7"/>
  </r>
  <r>
    <x v="32"/>
    <x v="42"/>
    <x v="2"/>
    <x v="32"/>
    <x v="14"/>
    <x v="5"/>
    <x v="16"/>
    <x v="20"/>
    <x v="47"/>
    <x v="1"/>
    <x v="1"/>
    <x v="8"/>
    <x v="7"/>
  </r>
  <r>
    <x v="33"/>
    <x v="42"/>
    <x v="65"/>
    <x v="31"/>
    <x v="24"/>
    <x v="2"/>
    <x v="23"/>
    <x v="15"/>
    <x v="11"/>
    <x v="1"/>
    <x v="1"/>
    <x v="8"/>
    <x v="7"/>
  </r>
  <r>
    <x v="34"/>
    <x v="42"/>
    <x v="8"/>
    <x v="14"/>
    <x v="22"/>
    <x v="20"/>
    <x v="1"/>
    <x v="20"/>
    <x v="35"/>
    <x v="1"/>
    <x v="1"/>
    <x v="8"/>
    <x v="7"/>
  </r>
  <r>
    <x v="35"/>
    <x v="42"/>
    <x v="41"/>
    <x v="28"/>
    <x v="99"/>
    <x v="19"/>
    <x v="12"/>
    <x v="22"/>
    <x v="72"/>
    <x v="1"/>
    <x v="1"/>
    <x v="8"/>
    <x v="7"/>
  </r>
  <r>
    <x v="36"/>
    <x v="41"/>
    <x v="100"/>
    <x v="0"/>
    <x v="64"/>
    <x v="2"/>
    <x v="34"/>
    <x v="20"/>
    <x v="27"/>
    <x v="1"/>
    <x v="1"/>
    <x v="8"/>
    <x v="7"/>
  </r>
  <r>
    <x v="53"/>
    <x v="40"/>
    <x v="77"/>
    <x v="44"/>
    <x v="12"/>
    <x v="2"/>
    <x v="101"/>
    <x v="21"/>
    <x v="75"/>
    <x v="0"/>
    <x v="1"/>
    <x v="8"/>
    <x v="7"/>
  </r>
  <r>
    <x v="45"/>
    <x v="39"/>
    <x v="103"/>
    <x v="8"/>
    <x v="81"/>
    <x v="28"/>
    <x v="102"/>
    <x v="21"/>
    <x v="53"/>
    <x v="0"/>
    <x v="1"/>
    <x v="8"/>
    <x v="7"/>
  </r>
  <r>
    <x v="46"/>
    <x v="39"/>
    <x v="57"/>
    <x v="13"/>
    <x v="60"/>
    <x v="2"/>
    <x v="68"/>
    <x v="18"/>
    <x v="8"/>
    <x v="0"/>
    <x v="1"/>
    <x v="8"/>
    <x v="7"/>
  </r>
  <r>
    <x v="47"/>
    <x v="39"/>
    <x v="90"/>
    <x v="25"/>
    <x v="27"/>
    <x v="30"/>
    <x v="70"/>
    <x v="23"/>
    <x v="62"/>
    <x v="0"/>
    <x v="1"/>
    <x v="8"/>
    <x v="7"/>
  </r>
  <r>
    <x v="50"/>
    <x v="39"/>
    <x v="3"/>
    <x v="21"/>
    <x v="93"/>
    <x v="25"/>
    <x v="30"/>
    <x v="18"/>
    <x v="11"/>
    <x v="0"/>
    <x v="1"/>
    <x v="8"/>
    <x v="7"/>
  </r>
  <r>
    <x v="48"/>
    <x v="38"/>
    <x v="50"/>
    <x v="25"/>
    <x v="98"/>
    <x v="10"/>
    <x v="89"/>
    <x v="32"/>
    <x v="40"/>
    <x v="0"/>
    <x v="1"/>
    <x v="8"/>
    <x v="7"/>
  </r>
  <r>
    <x v="49"/>
    <x v="37"/>
    <x v="46"/>
    <x v="26"/>
    <x v="6"/>
    <x v="2"/>
    <x v="59"/>
    <x v="22"/>
    <x v="33"/>
    <x v="0"/>
    <x v="1"/>
    <x v="8"/>
    <x v="7"/>
  </r>
  <r>
    <x v="51"/>
    <x v="36"/>
    <x v="61"/>
    <x v="38"/>
    <x v="75"/>
    <x v="10"/>
    <x v="99"/>
    <x v="20"/>
    <x v="76"/>
    <x v="0"/>
    <x v="1"/>
    <x v="8"/>
    <x v="7"/>
  </r>
  <r>
    <x v="52"/>
    <x v="36"/>
    <x v="42"/>
    <x v="19"/>
    <x v="49"/>
    <x v="10"/>
    <x v="85"/>
    <x v="25"/>
    <x v="60"/>
    <x v="0"/>
    <x v="1"/>
    <x v="8"/>
    <x v="7"/>
  </r>
  <r>
    <x v="43"/>
    <x v="35"/>
    <x v="20"/>
    <x v="19"/>
    <x v="19"/>
    <x v="11"/>
    <x v="52"/>
    <x v="23"/>
    <x v="36"/>
    <x v="0"/>
    <x v="1"/>
    <x v="8"/>
    <x v="7"/>
  </r>
  <r>
    <x v="44"/>
    <x v="35"/>
    <x v="97"/>
    <x v="16"/>
    <x v="23"/>
    <x v="26"/>
    <x v="46"/>
    <x v="22"/>
    <x v="57"/>
    <x v="0"/>
    <x v="1"/>
    <x v="8"/>
    <x v="7"/>
  </r>
  <r>
    <x v="42"/>
    <x v="34"/>
    <x v="60"/>
    <x v="19"/>
    <x v="85"/>
    <x v="2"/>
    <x v="56"/>
    <x v="23"/>
    <x v="63"/>
    <x v="0"/>
    <x v="1"/>
    <x v="8"/>
    <x v="7"/>
  </r>
  <r>
    <x v="37"/>
    <x v="33"/>
    <x v="19"/>
    <x v="19"/>
    <x v="5"/>
    <x v="10"/>
    <x v="77"/>
    <x v="22"/>
    <x v="49"/>
    <x v="0"/>
    <x v="1"/>
    <x v="8"/>
    <x v="7"/>
  </r>
  <r>
    <x v="38"/>
    <x v="33"/>
    <x v="76"/>
    <x v="24"/>
    <x v="90"/>
    <x v="23"/>
    <x v="79"/>
    <x v="20"/>
    <x v="27"/>
    <x v="0"/>
    <x v="1"/>
    <x v="8"/>
    <x v="7"/>
  </r>
  <r>
    <x v="39"/>
    <x v="33"/>
    <x v="66"/>
    <x v="36"/>
    <x v="47"/>
    <x v="2"/>
    <x v="103"/>
    <x v="17"/>
    <x v="14"/>
    <x v="0"/>
    <x v="1"/>
    <x v="8"/>
    <x v="7"/>
  </r>
  <r>
    <x v="40"/>
    <x v="33"/>
    <x v="5"/>
    <x v="24"/>
    <x v="94"/>
    <x v="20"/>
    <x v="10"/>
    <x v="29"/>
    <x v="65"/>
    <x v="0"/>
    <x v="1"/>
    <x v="8"/>
    <x v="7"/>
  </r>
  <r>
    <x v="41"/>
    <x v="33"/>
    <x v="74"/>
    <x v="31"/>
    <x v="56"/>
    <x v="25"/>
    <x v="62"/>
    <x v="3"/>
    <x v="54"/>
    <x v="0"/>
    <x v="1"/>
    <x v="8"/>
    <x v="7"/>
  </r>
  <r>
    <x v="61"/>
    <x v="32"/>
    <x v="63"/>
    <x v="19"/>
    <x v="54"/>
    <x v="31"/>
    <x v="18"/>
    <x v="23"/>
    <x v="59"/>
    <x v="0"/>
    <x v="1"/>
    <x v="8"/>
    <x v="7"/>
  </r>
  <r>
    <x v="60"/>
    <x v="31"/>
    <x v="0"/>
    <x v="21"/>
    <x v="33"/>
    <x v="2"/>
    <x v="66"/>
    <x v="14"/>
    <x v="66"/>
    <x v="0"/>
    <x v="1"/>
    <x v="8"/>
    <x v="7"/>
  </r>
  <r>
    <x v="62"/>
    <x v="31"/>
    <x v="33"/>
    <x v="41"/>
    <x v="58"/>
    <x v="31"/>
    <x v="93"/>
    <x v="21"/>
    <x v="44"/>
    <x v="0"/>
    <x v="1"/>
    <x v="8"/>
    <x v="7"/>
  </r>
  <r>
    <x v="63"/>
    <x v="31"/>
    <x v="49"/>
    <x v="41"/>
    <x v="84"/>
    <x v="1"/>
    <x v="96"/>
    <x v="21"/>
    <x v="29"/>
    <x v="0"/>
    <x v="1"/>
    <x v="8"/>
    <x v="7"/>
  </r>
  <r>
    <x v="64"/>
    <x v="31"/>
    <x v="43"/>
    <x v="29"/>
    <x v="74"/>
    <x v="20"/>
    <x v="14"/>
    <x v="20"/>
    <x v="17"/>
    <x v="0"/>
    <x v="1"/>
    <x v="8"/>
    <x v="7"/>
  </r>
  <r>
    <x v="65"/>
    <x v="30"/>
    <x v="45"/>
    <x v="34"/>
    <x v="20"/>
    <x v="20"/>
    <x v="13"/>
    <x v="20"/>
    <x v="11"/>
    <x v="0"/>
    <x v="1"/>
    <x v="8"/>
    <x v="7"/>
  </r>
  <r>
    <x v="66"/>
    <x v="29"/>
    <x v="16"/>
    <x v="21"/>
    <x v="48"/>
    <x v="6"/>
    <x v="53"/>
    <x v="1"/>
    <x v="4"/>
    <x v="0"/>
    <x v="1"/>
    <x v="8"/>
    <x v="7"/>
  </r>
  <r>
    <x v="59"/>
    <x v="28"/>
    <x v="26"/>
    <x v="26"/>
    <x v="29"/>
    <x v="23"/>
    <x v="8"/>
    <x v="18"/>
    <x v="8"/>
    <x v="0"/>
    <x v="1"/>
    <x v="8"/>
    <x v="7"/>
  </r>
  <r>
    <x v="57"/>
    <x v="27"/>
    <x v="71"/>
    <x v="43"/>
    <x v="18"/>
    <x v="18"/>
    <x v="20"/>
    <x v="28"/>
    <x v="11"/>
    <x v="0"/>
    <x v="1"/>
    <x v="8"/>
    <x v="7"/>
  </r>
  <r>
    <x v="54"/>
    <x v="26"/>
    <x v="80"/>
    <x v="24"/>
    <x v="3"/>
    <x v="10"/>
    <x v="44"/>
    <x v="21"/>
    <x v="48"/>
    <x v="0"/>
    <x v="1"/>
    <x v="8"/>
    <x v="7"/>
  </r>
  <r>
    <x v="55"/>
    <x v="26"/>
    <x v="7"/>
    <x v="31"/>
    <x v="11"/>
    <x v="31"/>
    <x v="100"/>
    <x v="12"/>
    <x v="17"/>
    <x v="0"/>
    <x v="1"/>
    <x v="8"/>
    <x v="7"/>
  </r>
  <r>
    <x v="56"/>
    <x v="25"/>
    <x v="102"/>
    <x v="12"/>
    <x v="21"/>
    <x v="23"/>
    <x v="39"/>
    <x v="0"/>
    <x v="0"/>
    <x v="0"/>
    <x v="1"/>
    <x v="8"/>
    <x v="7"/>
  </r>
  <r>
    <x v="58"/>
    <x v="25"/>
    <x v="97"/>
    <x v="6"/>
    <x v="89"/>
    <x v="32"/>
    <x v="46"/>
    <x v="22"/>
    <x v="54"/>
    <x v="0"/>
    <x v="1"/>
    <x v="8"/>
    <x v="7"/>
  </r>
  <r>
    <x v="77"/>
    <x v="24"/>
    <x v="17"/>
    <x v="18"/>
    <x v="95"/>
    <x v="2"/>
    <x v="58"/>
    <x v="16"/>
    <x v="5"/>
    <x v="0"/>
    <x v="1"/>
    <x v="8"/>
    <x v="7"/>
  </r>
  <r>
    <x v="78"/>
    <x v="24"/>
    <x v="70"/>
    <x v="25"/>
    <x v="42"/>
    <x v="12"/>
    <x v="89"/>
    <x v="20"/>
    <x v="42"/>
    <x v="0"/>
    <x v="1"/>
    <x v="8"/>
    <x v="7"/>
  </r>
  <r>
    <x v="80"/>
    <x v="23"/>
    <x v="99"/>
    <x v="44"/>
    <x v="30"/>
    <x v="17"/>
    <x v="3"/>
    <x v="6"/>
    <x v="23"/>
    <x v="0"/>
    <x v="1"/>
    <x v="8"/>
    <x v="7"/>
  </r>
  <r>
    <x v="74"/>
    <x v="22"/>
    <x v="86"/>
    <x v="3"/>
    <x v="52"/>
    <x v="22"/>
    <x v="83"/>
    <x v="33"/>
    <x v="18"/>
    <x v="0"/>
    <x v="1"/>
    <x v="8"/>
    <x v="7"/>
  </r>
  <r>
    <x v="75"/>
    <x v="22"/>
    <x v="22"/>
    <x v="23"/>
    <x v="79"/>
    <x v="23"/>
    <x v="31"/>
    <x v="20"/>
    <x v="51"/>
    <x v="0"/>
    <x v="1"/>
    <x v="8"/>
    <x v="7"/>
  </r>
  <r>
    <x v="76"/>
    <x v="22"/>
    <x v="75"/>
    <x v="18"/>
    <x v="31"/>
    <x v="2"/>
    <x v="67"/>
    <x v="21"/>
    <x v="41"/>
    <x v="0"/>
    <x v="1"/>
    <x v="8"/>
    <x v="7"/>
  </r>
  <r>
    <x v="79"/>
    <x v="66"/>
    <x v="14"/>
    <x v="25"/>
    <x v="68"/>
    <x v="24"/>
    <x v="101"/>
    <x v="21"/>
    <x v="58"/>
    <x v="0"/>
    <x v="1"/>
    <x v="8"/>
    <x v="7"/>
  </r>
  <r>
    <x v="67"/>
    <x v="21"/>
    <x v="69"/>
    <x v="19"/>
    <x v="76"/>
    <x v="2"/>
    <x v="27"/>
    <x v="22"/>
    <x v="57"/>
    <x v="0"/>
    <x v="1"/>
    <x v="8"/>
    <x v="7"/>
  </r>
  <r>
    <x v="68"/>
    <x v="20"/>
    <x v="13"/>
    <x v="26"/>
    <x v="13"/>
    <x v="23"/>
    <x v="7"/>
    <x v="6"/>
    <x v="35"/>
    <x v="0"/>
    <x v="1"/>
    <x v="8"/>
    <x v="7"/>
  </r>
  <r>
    <x v="71"/>
    <x v="20"/>
    <x v="12"/>
    <x v="24"/>
    <x v="44"/>
    <x v="23"/>
    <x v="36"/>
    <x v="21"/>
    <x v="61"/>
    <x v="0"/>
    <x v="1"/>
    <x v="8"/>
    <x v="7"/>
  </r>
  <r>
    <x v="72"/>
    <x v="20"/>
    <x v="78"/>
    <x v="47"/>
    <x v="72"/>
    <x v="13"/>
    <x v="92"/>
    <x v="12"/>
    <x v="51"/>
    <x v="0"/>
    <x v="1"/>
    <x v="8"/>
    <x v="7"/>
  </r>
  <r>
    <x v="81"/>
    <x v="20"/>
    <x v="54"/>
    <x v="38"/>
    <x v="26"/>
    <x v="21"/>
    <x v="54"/>
    <x v="20"/>
    <x v="21"/>
    <x v="0"/>
    <x v="1"/>
    <x v="8"/>
    <x v="7"/>
  </r>
  <r>
    <x v="69"/>
    <x v="19"/>
    <x v="34"/>
    <x v="19"/>
    <x v="51"/>
    <x v="10"/>
    <x v="29"/>
    <x v="33"/>
    <x v="26"/>
    <x v="0"/>
    <x v="1"/>
    <x v="8"/>
    <x v="7"/>
  </r>
  <r>
    <x v="70"/>
    <x v="19"/>
    <x v="9"/>
    <x v="24"/>
    <x v="44"/>
    <x v="2"/>
    <x v="48"/>
    <x v="20"/>
    <x v="34"/>
    <x v="0"/>
    <x v="1"/>
    <x v="8"/>
    <x v="7"/>
  </r>
  <r>
    <x v="73"/>
    <x v="19"/>
    <x v="4"/>
    <x v="17"/>
    <x v="2"/>
    <x v="2"/>
    <x v="15"/>
    <x v="12"/>
    <x v="17"/>
    <x v="0"/>
    <x v="1"/>
    <x v="8"/>
    <x v="7"/>
  </r>
  <r>
    <x v="90"/>
    <x v="18"/>
    <x v="13"/>
    <x v="26"/>
    <x v="13"/>
    <x v="23"/>
    <x v="84"/>
    <x v="21"/>
    <x v="28"/>
    <x v="0"/>
    <x v="1"/>
    <x v="8"/>
    <x v="7"/>
  </r>
  <r>
    <x v="89"/>
    <x v="17"/>
    <x v="40"/>
    <x v="19"/>
    <x v="80"/>
    <x v="2"/>
    <x v="40"/>
    <x v="21"/>
    <x v="37"/>
    <x v="0"/>
    <x v="1"/>
    <x v="8"/>
    <x v="7"/>
  </r>
  <r>
    <x v="87"/>
    <x v="16"/>
    <x v="6"/>
    <x v="7"/>
    <x v="37"/>
    <x v="2"/>
    <x v="72"/>
    <x v="22"/>
    <x v="57"/>
    <x v="0"/>
    <x v="1"/>
    <x v="8"/>
    <x v="7"/>
  </r>
  <r>
    <x v="88"/>
    <x v="16"/>
    <x v="37"/>
    <x v="4"/>
    <x v="46"/>
    <x v="20"/>
    <x v="24"/>
    <x v="18"/>
    <x v="65"/>
    <x v="0"/>
    <x v="1"/>
    <x v="8"/>
    <x v="7"/>
  </r>
  <r>
    <x v="82"/>
    <x v="15"/>
    <x v="72"/>
    <x v="43"/>
    <x v="18"/>
    <x v="2"/>
    <x v="88"/>
    <x v="20"/>
    <x v="76"/>
    <x v="0"/>
    <x v="1"/>
    <x v="8"/>
    <x v="7"/>
  </r>
  <r>
    <x v="83"/>
    <x v="15"/>
    <x v="82"/>
    <x v="47"/>
    <x v="72"/>
    <x v="2"/>
    <x v="17"/>
    <x v="31"/>
    <x v="10"/>
    <x v="0"/>
    <x v="1"/>
    <x v="8"/>
    <x v="7"/>
  </r>
  <r>
    <x v="84"/>
    <x v="14"/>
    <x v="87"/>
    <x v="19"/>
    <x v="41"/>
    <x v="8"/>
    <x v="35"/>
    <x v="2"/>
    <x v="76"/>
    <x v="0"/>
    <x v="1"/>
    <x v="8"/>
    <x v="7"/>
  </r>
  <r>
    <x v="86"/>
    <x v="13"/>
    <x v="104"/>
    <x v="37"/>
    <x v="10"/>
    <x v="13"/>
    <x v="89"/>
    <x v="22"/>
    <x v="56"/>
    <x v="0"/>
    <x v="1"/>
    <x v="8"/>
    <x v="7"/>
  </r>
  <r>
    <x v="85"/>
    <x v="12"/>
    <x v="15"/>
    <x v="43"/>
    <x v="58"/>
    <x v="2"/>
    <x v="28"/>
    <x v="23"/>
    <x v="66"/>
    <x v="0"/>
    <x v="1"/>
    <x v="8"/>
    <x v="7"/>
  </r>
  <r>
    <x v="101"/>
    <x v="11"/>
    <x v="64"/>
    <x v="19"/>
    <x v="87"/>
    <x v="3"/>
    <x v="84"/>
    <x v="20"/>
    <x v="19"/>
    <x v="0"/>
    <x v="1"/>
    <x v="8"/>
    <x v="7"/>
  </r>
  <r>
    <x v="102"/>
    <x v="11"/>
    <x v="52"/>
    <x v="19"/>
    <x v="57"/>
    <x v="2"/>
    <x v="11"/>
    <x v="4"/>
    <x v="39"/>
    <x v="0"/>
    <x v="1"/>
    <x v="8"/>
    <x v="7"/>
  </r>
  <r>
    <x v="103"/>
    <x v="10"/>
    <x v="85"/>
    <x v="44"/>
    <x v="15"/>
    <x v="11"/>
    <x v="57"/>
    <x v="32"/>
    <x v="27"/>
    <x v="0"/>
    <x v="1"/>
    <x v="8"/>
    <x v="7"/>
  </r>
  <r>
    <x v="104"/>
    <x v="10"/>
    <x v="48"/>
    <x v="42"/>
    <x v="91"/>
    <x v="2"/>
    <x v="0"/>
    <x v="20"/>
    <x v="19"/>
    <x v="0"/>
    <x v="1"/>
    <x v="8"/>
    <x v="7"/>
  </r>
  <r>
    <x v="91"/>
    <x v="9"/>
    <x v="53"/>
    <x v="24"/>
    <x v="98"/>
    <x v="2"/>
    <x v="22"/>
    <x v="20"/>
    <x v="55"/>
    <x v="0"/>
    <x v="1"/>
    <x v="8"/>
    <x v="7"/>
  </r>
  <r>
    <x v="94"/>
    <x v="8"/>
    <x v="94"/>
    <x v="39"/>
    <x v="92"/>
    <x v="23"/>
    <x v="60"/>
    <x v="21"/>
    <x v="24"/>
    <x v="0"/>
    <x v="1"/>
    <x v="8"/>
    <x v="7"/>
  </r>
  <r>
    <x v="92"/>
    <x v="7"/>
    <x v="59"/>
    <x v="19"/>
    <x v="71"/>
    <x v="2"/>
    <x v="64"/>
    <x v="13"/>
    <x v="45"/>
    <x v="0"/>
    <x v="1"/>
    <x v="8"/>
    <x v="7"/>
  </r>
  <r>
    <x v="95"/>
    <x v="7"/>
    <x v="11"/>
    <x v="28"/>
    <x v="73"/>
    <x v="11"/>
    <x v="95"/>
    <x v="16"/>
    <x v="1"/>
    <x v="0"/>
    <x v="1"/>
    <x v="8"/>
    <x v="7"/>
  </r>
  <r>
    <x v="96"/>
    <x v="6"/>
    <x v="84"/>
    <x v="25"/>
    <x v="8"/>
    <x v="2"/>
    <x v="43"/>
    <x v="16"/>
    <x v="22"/>
    <x v="0"/>
    <x v="1"/>
    <x v="8"/>
    <x v="7"/>
  </r>
  <r>
    <x v="100"/>
    <x v="6"/>
    <x v="23"/>
    <x v="37"/>
    <x v="62"/>
    <x v="20"/>
    <x v="81"/>
    <x v="21"/>
    <x v="51"/>
    <x v="0"/>
    <x v="1"/>
    <x v="8"/>
    <x v="7"/>
  </r>
  <r>
    <x v="93"/>
    <x v="5"/>
    <x v="51"/>
    <x v="19"/>
    <x v="97"/>
    <x v="4"/>
    <x v="94"/>
    <x v="13"/>
    <x v="6"/>
    <x v="0"/>
    <x v="1"/>
    <x v="8"/>
    <x v="7"/>
  </r>
  <r>
    <x v="97"/>
    <x v="5"/>
    <x v="92"/>
    <x v="21"/>
    <x v="32"/>
    <x v="20"/>
    <x v="51"/>
    <x v="5"/>
    <x v="32"/>
    <x v="0"/>
    <x v="1"/>
    <x v="8"/>
    <x v="7"/>
  </r>
  <r>
    <x v="98"/>
    <x v="5"/>
    <x v="25"/>
    <x v="19"/>
    <x v="40"/>
    <x v="20"/>
    <x v="87"/>
    <x v="9"/>
    <x v="16"/>
    <x v="0"/>
    <x v="1"/>
    <x v="8"/>
    <x v="7"/>
  </r>
  <r>
    <x v="99"/>
    <x v="5"/>
    <x v="96"/>
    <x v="21"/>
    <x v="32"/>
    <x v="2"/>
    <x v="38"/>
    <x v="19"/>
    <x v="3"/>
    <x v="0"/>
    <x v="1"/>
    <x v="8"/>
    <x v="7"/>
  </r>
  <r>
    <x v="107"/>
    <x v="4"/>
    <x v="67"/>
    <x v="35"/>
    <x v="1"/>
    <x v="23"/>
    <x v="41"/>
    <x v="20"/>
    <x v="9"/>
    <x v="0"/>
    <x v="1"/>
    <x v="8"/>
    <x v="7"/>
  </r>
  <r>
    <x v="106"/>
    <x v="3"/>
    <x v="105"/>
    <x v="20"/>
    <x v="39"/>
    <x v="14"/>
    <x v="78"/>
    <x v="23"/>
    <x v="69"/>
    <x v="0"/>
    <x v="1"/>
    <x v="8"/>
    <x v="7"/>
  </r>
  <r>
    <x v="105"/>
    <x v="2"/>
    <x v="35"/>
    <x v="5"/>
    <x v="58"/>
    <x v="10"/>
    <x v="33"/>
    <x v="11"/>
    <x v="76"/>
    <x v="0"/>
    <x v="1"/>
    <x v="8"/>
    <x v="7"/>
  </r>
  <r>
    <x v="109"/>
    <x v="1"/>
    <x v="101"/>
    <x v="28"/>
    <x v="88"/>
    <x v="15"/>
    <x v="37"/>
    <x v="23"/>
    <x v="50"/>
    <x v="0"/>
    <x v="1"/>
    <x v="8"/>
    <x v="7"/>
  </r>
  <r>
    <x v="110"/>
    <x v="1"/>
    <x v="83"/>
    <x v="24"/>
    <x v="66"/>
    <x v="7"/>
    <x v="47"/>
    <x v="7"/>
    <x v="27"/>
    <x v="0"/>
    <x v="1"/>
    <x v="8"/>
    <x v="7"/>
  </r>
  <r>
    <x v="108"/>
    <x v="0"/>
    <x v="19"/>
    <x v="7"/>
    <x v="69"/>
    <x v="16"/>
    <x v="80"/>
    <x v="22"/>
    <x v="62"/>
    <x v="0"/>
    <x v="1"/>
    <x v="8"/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3:D8" firstHeaderRow="1" firstDataRow="1" firstDataCol="3" rowPageCount="1" colPageCount="1"/>
  <pivotFields count="13">
    <pivotField compact="0" showAll="0"/>
    <pivotField compact="0" showAll="0"/>
    <pivotField axis="axisRow" compact="0" showAll="0" defaultSubtotal="0" outline="0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</items>
    </pivotField>
    <pivotField compact="0" showAll="0"/>
    <pivotField compact="0" showAll="0"/>
    <pivotField axis="axisRow" compact="0" showAll="0" defaultSubtotal="0" outline="0">
      <items count="34">
        <item h="1" x="0"/>
        <item h="1" x="1"/>
        <item h="1" x="2"/>
        <item h="1" x="3"/>
        <item h="1" x="4"/>
        <item x="5"/>
        <item h="1" x="6"/>
        <item h="1" x="7"/>
        <item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h="1" x="25"/>
        <item h="1" x="26"/>
        <item h="1" x="27"/>
        <item h="1" x="28"/>
        <item h="1" x="29"/>
        <item h="1" x="30"/>
        <item h="1" x="31"/>
        <item h="1" x="32"/>
        <item h="1" x="33"/>
      </items>
    </pivotField>
    <pivotField compact="0" showAll="0"/>
    <pivotField axis="axisRow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axis="axisPage" dataField="1" compact="0" showAll="0" defaultSubtotal="0" outline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</items>
    </pivotField>
    <pivotField compact="0" showAll="0"/>
    <pivotField compact="0" showAll="0"/>
    <pivotField compact="0" showAll="0"/>
    <pivotField compact="0" showAll="0"/>
  </pivotFields>
  <rowFields count="3">
    <field x="5"/>
    <field x="7"/>
    <field x="2"/>
  </rowFields>
  <rowItems count="5">
    <i>
      <x v="0"/>
    </i>
    <i>
      <x v="1"/>
    </i>
    <i>
      <x v="2"/>
    </i>
    <i>
      <x v="3"/>
    </i>
    <i t="grand">
      <x v="4"/>
    </i>
  </rowItems>
  <colItems count="1">
    <i t="grand">
      <x v="0"/>
    </i>
  </colItems>
  <pageFields count="1">
    <pageField fld="8" hier="-1"/>
  </pageFields>
  <dataFields count="1">
    <dataField name="Sum - Amount in USD*" fld="8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35" firstHeaderRow="1" firstDataRow="1" firstDataCol="1"/>
  <pivotFields count="13">
    <pivotField compact="0" showAll="0"/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5"/>
  </rowFields>
  <rowItems count="3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 v="33"/>
    </i>
  </rowItems>
  <colItems count="1">
    <i t="grand">
      <x v="0"/>
    </i>
  </colItems>
  <dataFields count="1">
    <dataField name="Count - City  Location*" fld="5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49" firstHeaderRow="1" firstDataRow="1" firstDataCol="1"/>
  <pivotFields count="13">
    <pivotField compact="0" showAll="0"/>
    <pivotField compact="0" showAll="0"/>
    <pivotField compact="0" showAll="0"/>
    <pivotField axis="axisRow" dataField="1" compact="0" showAll="0" defaultSubtotal="0" outline="0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3"/>
  </rowFields>
  <rowItems count="48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 v="47"/>
    </i>
  </rowItems>
  <colItems count="1">
    <i t="grand">
      <x v="0"/>
    </i>
  </colItems>
  <dataFields count="1">
    <dataField name="Count - Industry Vertical*" fld="3" subtotal="count" numFmtId="164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2" displayName="Table2" ref="A1:M112" headerRowCount="1" totalsRowCount="0" totalsRowShown="0">
  <autoFilter ref="A1:M112">
    <filterColumn colId="8">
      <filters>
        <filter val="$1,000,000,000.00"/>
        <filter val="$1,000,000.00"/>
        <filter val="$1,300,000.00"/>
        <filter val="$1,500,000.00"/>
        <filter val="$1,600,000.00"/>
        <filter val="$10,000,000.00"/>
        <filter val="$11,000,000.00"/>
        <filter val="$11,500,000.00"/>
        <filter val="$110,000,000.00"/>
        <filter val="$12,000,000.00"/>
        <filter val="$125,000,000.00"/>
        <filter val="$135,000,000.00"/>
        <filter val="$14,342,000.00"/>
        <filter val="$140,000,000.00"/>
        <filter val="$145,000.00"/>
        <filter val="$15,000,000.00"/>
        <filter val="$15,109,500.00"/>
        <filter val="$15,500,000.00"/>
        <filter val="$15,800,000.00"/>
        <filter val="$150,000,000.00"/>
        <filter val="$16,000,000.00"/>
        <filter val="$17,000,000.00"/>
        <filter val="$17,411,265.00"/>
        <filter val="$18,000,000.00"/>
        <filter val="$19,000,000.00"/>
        <filter val="$2,000,000.00"/>
        <filter val="$2,443,495.00"/>
        <filter val="$2,500,000.00"/>
        <filter val="$2,739,034.68"/>
        <filter val="$20,000,000.00"/>
        <filter val="$200,000,000.00"/>
        <filter val="$200,000.00"/>
        <filter val="$22,000,000.00"/>
        <filter val="$220,000,000.00"/>
        <filter val="$226,000,000.00"/>
        <filter val="$231,000,000.00"/>
        <filter val="$26,000,000.00"/>
        <filter val="$283,000,000.00"/>
        <filter val="$3,000,000.00"/>
        <filter val="$3,300,000.00"/>
        <filter val="$3,400,000.00"/>
        <filter val="$3,500,000.00"/>
        <filter val="$3,584,000.00"/>
        <filter val="$3,591,375.00"/>
        <filter val="$3,900,000,000.00"/>
        <filter val="$30,000,000.00"/>
        <filter val="$300,000.00"/>
        <filter val="$307,000.00"/>
        <filter val="$319,605.00"/>
        <filter val="$37,000,000.00"/>
        <filter val="$38,080,000.00"/>
        <filter val="$4,500,000.00"/>
        <filter val="$4,889,975.54"/>
        <filter val="$430,200.00"/>
        <filter val="$430,665.00"/>
        <filter val="$45,000,000.00"/>
        <filter val="$450,000,000.00"/>
        <filter val="$486,000.00"/>
        <filter val="$5,000,000.00"/>
        <filter val="$5,600,000.00"/>
        <filter val="$5,750,000.00"/>
        <filter val="$5,900,000.00"/>
        <filter val="$50,000,000.00"/>
        <filter val="$500,000.00"/>
        <filter val="$51,000,000.00"/>
        <filter val="$52,000,000.00"/>
        <filter val="$585,000,000.00"/>
        <filter val="$6,000,000.00"/>
        <filter val="$6,320,820.00"/>
        <filter val="$6,590,000.00"/>
        <filter val="$60,000,000.00"/>
        <filter val="$600,000.00"/>
        <filter val="$70,000,000.00"/>
        <filter val="$75,000,000.00"/>
        <filter val="$868,600.00"/>
        <filter val="$9,000,000.00"/>
      </filters>
    </filterColumn>
  </autoFilter>
  <tableColumns count="13">
    <tableColumn id="1" name="Sr No"/>
    <tableColumn id="2" name="Date"/>
    <tableColumn id="3" name="Startup Name"/>
    <tableColumn id="4" name="Industry Vertical"/>
    <tableColumn id="5" name="SubVertical"/>
    <tableColumn id="6" name="City  Location"/>
    <tableColumn id="7" name="Investors Name"/>
    <tableColumn id="8" name="InvestmentnType"/>
    <tableColumn id="9" name="Amount in USD"/>
    <tableColumn id="10" name="Remarks"/>
    <tableColumn id="11" name="Column1"/>
    <tableColumn id="12" name="Column2"/>
    <tableColumn id="13" name="Column3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8359375" defaultRowHeight="15" customHeight="true" zeroHeight="false" outlineLevelRow="0" outlineLevelCol="0"/>
  <cols>
    <col collapsed="false" customWidth="true" hidden="false" outlineLevel="0" max="1" min="1" style="1" width="8.17"/>
    <col collapsed="false" customWidth="true" hidden="false" outlineLevel="0" max="2" min="2" style="2" width="13.33"/>
    <col collapsed="false" customWidth="true" hidden="false" outlineLevel="0" max="3" min="3" style="1" width="50.67"/>
    <col collapsed="false" customWidth="true" hidden="false" outlineLevel="0" max="4" min="4" style="1" width="27.83"/>
    <col collapsed="false" customWidth="true" hidden="false" outlineLevel="0" max="5" min="5" style="1" width="54.34"/>
    <col collapsed="false" customWidth="true" hidden="false" outlineLevel="0" max="6" min="6" style="1" width="23.5"/>
    <col collapsed="false" customWidth="true" hidden="false" outlineLevel="0" max="7" min="7" style="1" width="167.5"/>
    <col collapsed="false" customWidth="true" hidden="false" outlineLevel="0" max="8" min="8" style="1" width="26.34"/>
    <col collapsed="false" customWidth="true" hidden="false" outlineLevel="0" max="9" min="9" style="3" width="17.83"/>
    <col collapsed="false" customWidth="true" hidden="false" outlineLevel="0" max="10" min="10" style="1" width="35.17"/>
    <col collapsed="false" customWidth="true" hidden="false" outlineLevel="0" max="11" min="11" style="1" width="11.33"/>
    <col collapsed="false" customWidth="true" hidden="false" outlineLevel="0" max="12" min="12" style="1" width="15.83"/>
    <col collapsed="false" customWidth="true" hidden="false" outlineLevel="0" max="13" min="13" style="3" width="29.33"/>
  </cols>
  <sheetData>
    <row r="1" customFormat="false" ht="15" hidden="false" customHeight="false" outlineLevel="0" collapsed="false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6" t="s">
        <v>12</v>
      </c>
    </row>
    <row r="2" customFormat="false" ht="15" hidden="false" customHeight="false" outlineLevel="0" collapsed="false">
      <c r="A2" s="1" t="n">
        <v>17</v>
      </c>
      <c r="B2" s="2" t="n">
        <v>43819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3" t="n">
        <v>231000000</v>
      </c>
      <c r="K2" s="1" t="s">
        <v>19</v>
      </c>
      <c r="L2" s="1" t="s">
        <v>2</v>
      </c>
      <c r="M2" s="3" t="s">
        <v>8</v>
      </c>
    </row>
    <row r="3" customFormat="false" ht="15" hidden="false" customHeight="false" outlineLevel="0" collapsed="false">
      <c r="A3" s="1" t="n">
        <v>12</v>
      </c>
      <c r="B3" s="2" t="n">
        <v>43816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3" t="n">
        <v>12000000</v>
      </c>
      <c r="L3" s="1" t="s">
        <v>26</v>
      </c>
      <c r="M3" s="3" t="n">
        <f aca="false">VLOOKUP(L3, C2:I113, 7, FALSE())</f>
        <v>50000000</v>
      </c>
    </row>
    <row r="4" customFormat="false" ht="15" hidden="false" customHeight="false" outlineLevel="0" collapsed="false">
      <c r="A4" s="1" t="n">
        <v>13</v>
      </c>
      <c r="B4" s="2" t="n">
        <v>43815</v>
      </c>
      <c r="C4" s="1" t="s">
        <v>27</v>
      </c>
      <c r="D4" s="1" t="s">
        <v>14</v>
      </c>
      <c r="E4" s="1" t="s">
        <v>28</v>
      </c>
      <c r="F4" s="1" t="s">
        <v>23</v>
      </c>
      <c r="G4" s="1" t="s">
        <v>29</v>
      </c>
      <c r="H4" s="1" t="s">
        <v>30</v>
      </c>
      <c r="I4" s="3" t="n">
        <v>30000000</v>
      </c>
      <c r="L4" s="1" t="s">
        <v>31</v>
      </c>
      <c r="M4" s="3" t="n">
        <f aca="false">VLOOKUP(L4, C3:I114, 7, FALSE())</f>
        <v>70000000</v>
      </c>
    </row>
    <row r="5" customFormat="false" ht="15" hidden="false" customHeight="false" outlineLevel="0" collapsed="false">
      <c r="A5" s="1" t="n">
        <v>14</v>
      </c>
      <c r="B5" s="2" t="n">
        <v>43815</v>
      </c>
      <c r="C5" s="1" t="s">
        <v>32</v>
      </c>
      <c r="D5" s="1" t="s">
        <v>33</v>
      </c>
      <c r="E5" s="1" t="s">
        <v>34</v>
      </c>
      <c r="F5" s="1" t="s">
        <v>35</v>
      </c>
      <c r="H5" s="1" t="s">
        <v>36</v>
      </c>
      <c r="I5" s="3" t="n">
        <v>5900000</v>
      </c>
      <c r="L5" s="1" t="s">
        <v>37</v>
      </c>
      <c r="M5" s="3" t="n">
        <f aca="false">VLOOKUP(L5, C4:I115, 7, FALSE())</f>
        <v>50000000</v>
      </c>
    </row>
    <row r="6" customFormat="false" ht="15" hidden="false" customHeight="false" outlineLevel="0" collapsed="false">
      <c r="A6" s="1" t="n">
        <v>15</v>
      </c>
      <c r="B6" s="2" t="n">
        <v>43813</v>
      </c>
      <c r="C6" s="1" t="s">
        <v>38</v>
      </c>
      <c r="D6" s="1" t="s">
        <v>39</v>
      </c>
      <c r="E6" s="1" t="s">
        <v>40</v>
      </c>
      <c r="F6" s="1" t="s">
        <v>23</v>
      </c>
      <c r="G6" s="1" t="s">
        <v>41</v>
      </c>
      <c r="H6" s="1" t="s">
        <v>42</v>
      </c>
      <c r="I6" s="3" t="n">
        <v>2000000</v>
      </c>
      <c r="L6" s="1" t="s">
        <v>43</v>
      </c>
      <c r="M6" s="3" t="n">
        <f aca="false">VLOOKUP(L6, C5:I116, 7, FALSE())</f>
        <v>1000000000</v>
      </c>
    </row>
    <row r="7" customFormat="false" ht="15" hidden="false" customHeight="false" outlineLevel="0" collapsed="false">
      <c r="A7" s="1" t="n">
        <v>11</v>
      </c>
      <c r="B7" s="2" t="n">
        <v>43812</v>
      </c>
      <c r="C7" s="1" t="s">
        <v>44</v>
      </c>
      <c r="D7" s="1" t="s">
        <v>45</v>
      </c>
      <c r="E7" s="1" t="s">
        <v>46</v>
      </c>
      <c r="F7" s="1" t="s">
        <v>47</v>
      </c>
      <c r="G7" s="1" t="s">
        <v>48</v>
      </c>
      <c r="H7" s="1" t="s">
        <v>49</v>
      </c>
      <c r="I7" s="3" t="n">
        <v>20000000</v>
      </c>
      <c r="L7" s="1" t="s">
        <v>50</v>
      </c>
      <c r="M7" s="3" t="n">
        <f aca="false">VLOOKUP(L7, C6:I117, 7, FALSE())</f>
        <v>17411265</v>
      </c>
    </row>
    <row r="8" customFormat="false" ht="15" hidden="false" customHeight="false" outlineLevel="0" collapsed="false">
      <c r="A8" s="1" t="n">
        <v>8</v>
      </c>
      <c r="B8" s="2" t="n">
        <v>43811</v>
      </c>
      <c r="C8" s="1" t="s">
        <v>51</v>
      </c>
      <c r="D8" s="1" t="s">
        <v>45</v>
      </c>
      <c r="E8" s="1" t="s">
        <v>52</v>
      </c>
      <c r="F8" s="1" t="s">
        <v>53</v>
      </c>
      <c r="G8" s="1" t="s">
        <v>54</v>
      </c>
      <c r="H8" s="1" t="s">
        <v>55</v>
      </c>
      <c r="I8" s="3" t="n">
        <v>6000000</v>
      </c>
      <c r="L8" s="1" t="s">
        <v>56</v>
      </c>
      <c r="M8" s="3" t="n">
        <f aca="false">VLOOKUP(L8, C7:I118, 7, FALSE())</f>
        <v>135000000</v>
      </c>
    </row>
    <row r="9" customFormat="false" ht="15" hidden="false" customHeight="false" outlineLevel="0" collapsed="false">
      <c r="A9" s="1" t="n">
        <v>16</v>
      </c>
      <c r="B9" s="2" t="n">
        <v>43810</v>
      </c>
      <c r="C9" s="1" t="s">
        <v>26</v>
      </c>
      <c r="D9" s="1" t="s">
        <v>57</v>
      </c>
      <c r="E9" s="1" t="s">
        <v>58</v>
      </c>
      <c r="F9" s="1" t="s">
        <v>59</v>
      </c>
      <c r="G9" s="1" t="s">
        <v>60</v>
      </c>
      <c r="H9" s="1" t="s">
        <v>42</v>
      </c>
      <c r="I9" s="3" t="n">
        <v>50000000</v>
      </c>
      <c r="L9" s="1" t="s">
        <v>61</v>
      </c>
      <c r="M9" s="3" t="n">
        <f aca="false">VLOOKUP(L9, C8:I119, 7, FALSE())</f>
        <v>220000000</v>
      </c>
    </row>
    <row r="10" customFormat="false" ht="15" hidden="false" customHeight="false" outlineLevel="0" collapsed="false">
      <c r="A10" s="1" t="n">
        <v>9</v>
      </c>
      <c r="B10" s="2" t="n">
        <v>43805</v>
      </c>
      <c r="C10" s="1" t="s">
        <v>31</v>
      </c>
      <c r="D10" s="1" t="s">
        <v>14</v>
      </c>
      <c r="E10" s="1" t="s">
        <v>62</v>
      </c>
      <c r="F10" s="1" t="s">
        <v>47</v>
      </c>
      <c r="G10" s="1" t="s">
        <v>63</v>
      </c>
      <c r="H10" s="1" t="s">
        <v>64</v>
      </c>
      <c r="I10" s="3" t="n">
        <v>70000000</v>
      </c>
    </row>
    <row r="11" customFormat="false" ht="15" hidden="false" customHeight="false" outlineLevel="0" collapsed="false">
      <c r="A11" s="1" t="n">
        <v>10</v>
      </c>
      <c r="B11" s="2" t="n">
        <v>43802</v>
      </c>
      <c r="C11" s="1" t="s">
        <v>37</v>
      </c>
      <c r="D11" s="1" t="s">
        <v>65</v>
      </c>
      <c r="E11" s="1" t="s">
        <v>66</v>
      </c>
      <c r="F11" s="1" t="s">
        <v>23</v>
      </c>
      <c r="G11" s="1" t="s">
        <v>67</v>
      </c>
      <c r="H11" s="1" t="s">
        <v>68</v>
      </c>
      <c r="I11" s="3" t="n">
        <v>50000000</v>
      </c>
    </row>
    <row r="12" customFormat="false" ht="15" hidden="false" customHeight="false" outlineLevel="0" collapsed="false">
      <c r="A12" s="1" t="n">
        <v>32</v>
      </c>
      <c r="B12" s="2" t="n">
        <v>43794</v>
      </c>
      <c r="C12" s="1" t="s">
        <v>43</v>
      </c>
      <c r="D12" s="1" t="s">
        <v>69</v>
      </c>
      <c r="E12" s="1" t="s">
        <v>70</v>
      </c>
      <c r="F12" s="1" t="s">
        <v>59</v>
      </c>
      <c r="G12" s="1" t="s">
        <v>71</v>
      </c>
      <c r="H12" s="1" t="s">
        <v>72</v>
      </c>
      <c r="I12" s="3" t="n">
        <v>1000000000</v>
      </c>
    </row>
    <row r="13" customFormat="false" ht="15" hidden="false" customHeight="false" outlineLevel="0" collapsed="false">
      <c r="A13" s="1" t="n">
        <v>24</v>
      </c>
      <c r="B13" s="2" t="n">
        <v>43789</v>
      </c>
      <c r="C13" s="1" t="s">
        <v>50</v>
      </c>
      <c r="D13" s="1" t="s">
        <v>69</v>
      </c>
      <c r="E13" s="1" t="s">
        <v>73</v>
      </c>
      <c r="F13" s="1" t="s">
        <v>47</v>
      </c>
      <c r="G13" s="1" t="s">
        <v>69</v>
      </c>
      <c r="H13" s="1" t="s">
        <v>36</v>
      </c>
      <c r="I13" s="3" t="n">
        <v>17411265</v>
      </c>
    </row>
    <row r="14" customFormat="false" ht="15" hidden="false" customHeight="false" outlineLevel="0" collapsed="false">
      <c r="A14" s="1" t="n">
        <v>26</v>
      </c>
      <c r="B14" s="2" t="n">
        <v>43789</v>
      </c>
      <c r="C14" s="1" t="s">
        <v>56</v>
      </c>
      <c r="D14" s="1" t="s">
        <v>74</v>
      </c>
      <c r="E14" s="1" t="s">
        <v>75</v>
      </c>
      <c r="F14" s="1" t="s">
        <v>76</v>
      </c>
      <c r="G14" s="1" t="s">
        <v>77</v>
      </c>
      <c r="H14" s="1" t="s">
        <v>25</v>
      </c>
      <c r="I14" s="3" t="n">
        <v>135000000</v>
      </c>
    </row>
    <row r="15" customFormat="false" ht="15" hidden="false" customHeight="false" outlineLevel="0" collapsed="false">
      <c r="A15" s="1" t="n">
        <v>28</v>
      </c>
      <c r="B15" s="2" t="n">
        <v>43788</v>
      </c>
      <c r="C15" s="1" t="s">
        <v>61</v>
      </c>
      <c r="D15" s="1" t="s">
        <v>14</v>
      </c>
      <c r="E15" s="1" t="s">
        <v>78</v>
      </c>
      <c r="F15" s="1" t="s">
        <v>79</v>
      </c>
      <c r="G15" s="1" t="s">
        <v>80</v>
      </c>
      <c r="H15" s="1" t="s">
        <v>81</v>
      </c>
      <c r="I15" s="3" t="n">
        <v>220000000</v>
      </c>
    </row>
    <row r="16" customFormat="false" ht="15" hidden="false" customHeight="false" outlineLevel="0" collapsed="false">
      <c r="A16" s="1" t="n">
        <v>31</v>
      </c>
      <c r="B16" s="2" t="n">
        <v>43788</v>
      </c>
      <c r="C16" s="1" t="s">
        <v>82</v>
      </c>
      <c r="D16" s="1" t="s">
        <v>83</v>
      </c>
      <c r="E16" s="1" t="s">
        <v>84</v>
      </c>
      <c r="F16" s="1" t="s">
        <v>85</v>
      </c>
      <c r="G16" s="1" t="s">
        <v>86</v>
      </c>
      <c r="I16" s="3" t="n">
        <v>200000000</v>
      </c>
    </row>
    <row r="17" customFormat="false" ht="15" hidden="false" customHeight="false" outlineLevel="0" collapsed="false">
      <c r="A17" s="1" t="n">
        <v>22</v>
      </c>
      <c r="B17" s="2" t="n">
        <v>43787</v>
      </c>
      <c r="C17" s="1" t="s">
        <v>20</v>
      </c>
      <c r="D17" s="1" t="s">
        <v>87</v>
      </c>
      <c r="E17" s="1" t="s">
        <v>88</v>
      </c>
      <c r="F17" s="1" t="s">
        <v>47</v>
      </c>
      <c r="G17" s="1" t="s">
        <v>89</v>
      </c>
      <c r="H17" s="1" t="s">
        <v>90</v>
      </c>
      <c r="I17" s="3" t="n">
        <v>12000000</v>
      </c>
    </row>
    <row r="18" customFormat="false" ht="15" hidden="false" customHeight="false" outlineLevel="0" collapsed="false">
      <c r="A18" s="1" t="n">
        <v>29</v>
      </c>
      <c r="B18" s="2" t="n">
        <v>43787</v>
      </c>
      <c r="C18" s="1" t="s">
        <v>91</v>
      </c>
      <c r="D18" s="1" t="s">
        <v>92</v>
      </c>
      <c r="E18" s="1" t="s">
        <v>93</v>
      </c>
      <c r="F18" s="1" t="s">
        <v>35</v>
      </c>
      <c r="G18" s="1" t="s">
        <v>94</v>
      </c>
      <c r="H18" s="1" t="s">
        <v>90</v>
      </c>
      <c r="I18" s="3" t="n">
        <v>15800000</v>
      </c>
    </row>
    <row r="19" customFormat="false" ht="15" hidden="true" customHeight="false" outlineLevel="0" collapsed="false">
      <c r="A19" s="1" t="n">
        <v>21</v>
      </c>
      <c r="B19" s="2" t="n">
        <v>43786</v>
      </c>
      <c r="C19" s="1" t="s">
        <v>95</v>
      </c>
      <c r="D19" s="1" t="s">
        <v>96</v>
      </c>
      <c r="E19" s="1" t="s">
        <v>97</v>
      </c>
      <c r="F19" s="1" t="s">
        <v>47</v>
      </c>
      <c r="G19" s="1" t="s">
        <v>98</v>
      </c>
      <c r="H19" s="1" t="s">
        <v>99</v>
      </c>
      <c r="I19" s="3" t="s">
        <v>100</v>
      </c>
    </row>
    <row r="20" customFormat="false" ht="15" hidden="false" customHeight="false" outlineLevel="0" collapsed="false">
      <c r="A20" s="1" t="n">
        <v>23</v>
      </c>
      <c r="B20" s="2" t="n">
        <v>43784</v>
      </c>
      <c r="C20" s="1" t="s">
        <v>101</v>
      </c>
      <c r="D20" s="1" t="s">
        <v>102</v>
      </c>
      <c r="E20" s="1" t="s">
        <v>52</v>
      </c>
      <c r="F20" s="1" t="s">
        <v>23</v>
      </c>
      <c r="G20" s="1" t="s">
        <v>103</v>
      </c>
      <c r="H20" s="1" t="s">
        <v>36</v>
      </c>
      <c r="I20" s="3" t="n">
        <v>26000000</v>
      </c>
    </row>
    <row r="21" customFormat="false" ht="15" hidden="false" customHeight="false" outlineLevel="0" collapsed="false">
      <c r="A21" s="1" t="n">
        <v>30</v>
      </c>
      <c r="B21" s="2" t="n">
        <v>43784</v>
      </c>
      <c r="C21" s="1" t="s">
        <v>104</v>
      </c>
      <c r="D21" s="1" t="s">
        <v>105</v>
      </c>
      <c r="E21" s="1" t="s">
        <v>106</v>
      </c>
      <c r="F21" s="1" t="s">
        <v>107</v>
      </c>
      <c r="G21" s="1" t="s">
        <v>108</v>
      </c>
      <c r="H21" s="1" t="s">
        <v>90</v>
      </c>
      <c r="I21" s="3" t="n">
        <v>283000000</v>
      </c>
    </row>
    <row r="22" customFormat="false" ht="15" hidden="false" customHeight="false" outlineLevel="0" collapsed="false">
      <c r="A22" s="1" t="n">
        <v>19</v>
      </c>
      <c r="B22" s="2" t="n">
        <v>43783</v>
      </c>
      <c r="C22" s="1" t="s">
        <v>109</v>
      </c>
      <c r="D22" s="1" t="s">
        <v>110</v>
      </c>
      <c r="E22" s="1" t="s">
        <v>111</v>
      </c>
      <c r="F22" s="1" t="s">
        <v>47</v>
      </c>
      <c r="G22" s="1" t="s">
        <v>112</v>
      </c>
      <c r="H22" s="1" t="s">
        <v>90</v>
      </c>
      <c r="I22" s="3" t="n">
        <v>486000</v>
      </c>
    </row>
    <row r="23" customFormat="false" ht="15" hidden="false" customHeight="false" outlineLevel="0" collapsed="false">
      <c r="A23" s="1" t="n">
        <v>18</v>
      </c>
      <c r="B23" s="2" t="n">
        <v>43782</v>
      </c>
      <c r="C23" s="1" t="s">
        <v>113</v>
      </c>
      <c r="D23" s="1" t="s">
        <v>114</v>
      </c>
      <c r="E23" s="1" t="s">
        <v>115</v>
      </c>
      <c r="F23" s="1" t="s">
        <v>116</v>
      </c>
      <c r="G23" s="1" t="s">
        <v>117</v>
      </c>
      <c r="H23" s="1" t="s">
        <v>118</v>
      </c>
      <c r="I23" s="3" t="n">
        <v>150000000</v>
      </c>
    </row>
    <row r="24" customFormat="false" ht="15" hidden="false" customHeight="false" outlineLevel="0" collapsed="false">
      <c r="A24" s="1" t="n">
        <v>20</v>
      </c>
      <c r="B24" s="2" t="n">
        <v>43782</v>
      </c>
      <c r="C24" s="1" t="s">
        <v>119</v>
      </c>
      <c r="D24" s="1" t="s">
        <v>83</v>
      </c>
      <c r="E24" s="1" t="s">
        <v>120</v>
      </c>
      <c r="F24" s="1" t="s">
        <v>47</v>
      </c>
      <c r="G24" s="1" t="s">
        <v>121</v>
      </c>
      <c r="H24" s="1" t="s">
        <v>68</v>
      </c>
      <c r="I24" s="3" t="n">
        <v>1500000</v>
      </c>
    </row>
    <row r="25" customFormat="false" ht="15" hidden="false" customHeight="false" outlineLevel="0" collapsed="false">
      <c r="A25" s="1" t="n">
        <v>25</v>
      </c>
      <c r="B25" s="2" t="n">
        <v>43781</v>
      </c>
      <c r="C25" s="1" t="s">
        <v>122</v>
      </c>
      <c r="D25" s="1" t="s">
        <v>123</v>
      </c>
      <c r="E25" s="1" t="s">
        <v>124</v>
      </c>
      <c r="F25" s="1" t="s">
        <v>53</v>
      </c>
      <c r="G25" s="1" t="s">
        <v>125</v>
      </c>
      <c r="H25" s="1" t="s">
        <v>81</v>
      </c>
      <c r="I25" s="3" t="n">
        <v>1300000</v>
      </c>
    </row>
    <row r="26" customFormat="false" ht="15" hidden="false" customHeight="false" outlineLevel="0" collapsed="false">
      <c r="A26" s="1" t="n">
        <v>27</v>
      </c>
      <c r="B26" s="2" t="n">
        <v>43780</v>
      </c>
      <c r="C26" s="1" t="s">
        <v>126</v>
      </c>
      <c r="D26" s="1" t="s">
        <v>105</v>
      </c>
      <c r="E26" s="1" t="s">
        <v>127</v>
      </c>
      <c r="F26" s="1" t="s">
        <v>128</v>
      </c>
      <c r="G26" s="1" t="s">
        <v>129</v>
      </c>
      <c r="H26" s="1" t="s">
        <v>68</v>
      </c>
      <c r="I26" s="3" t="n">
        <v>300000</v>
      </c>
    </row>
    <row r="27" customFormat="false" ht="15" hidden="true" customHeight="false" outlineLevel="0" collapsed="false">
      <c r="A27" s="1" t="n">
        <v>35</v>
      </c>
      <c r="B27" s="2" t="n">
        <v>43759</v>
      </c>
      <c r="C27" s="1" t="s">
        <v>130</v>
      </c>
      <c r="D27" s="1" t="s">
        <v>131</v>
      </c>
      <c r="E27" s="1" t="s">
        <v>132</v>
      </c>
      <c r="F27" s="1" t="s">
        <v>47</v>
      </c>
      <c r="G27" s="1" t="s">
        <v>133</v>
      </c>
      <c r="H27" s="1" t="s">
        <v>134</v>
      </c>
      <c r="I27" s="3" t="s">
        <v>135</v>
      </c>
    </row>
    <row r="28" customFormat="false" ht="15" hidden="false" customHeight="false" outlineLevel="0" collapsed="false">
      <c r="A28" s="1" t="n">
        <v>33</v>
      </c>
      <c r="B28" s="2" t="n">
        <v>43742</v>
      </c>
      <c r="C28" s="1" t="s">
        <v>136</v>
      </c>
      <c r="D28" s="1" t="s">
        <v>137</v>
      </c>
      <c r="E28" s="1" t="s">
        <v>138</v>
      </c>
      <c r="F28" s="1" t="s">
        <v>23</v>
      </c>
      <c r="G28" s="1" t="s">
        <v>139</v>
      </c>
      <c r="H28" s="1" t="s">
        <v>64</v>
      </c>
      <c r="I28" s="3" t="n">
        <v>45000000</v>
      </c>
    </row>
    <row r="29" customFormat="false" ht="15" hidden="false" customHeight="false" outlineLevel="0" collapsed="false">
      <c r="A29" s="1" t="n">
        <v>34</v>
      </c>
      <c r="B29" s="2" t="n">
        <v>43740</v>
      </c>
      <c r="C29" s="1" t="s">
        <v>140</v>
      </c>
      <c r="D29" s="1" t="s">
        <v>141</v>
      </c>
      <c r="E29" s="1" t="s">
        <v>142</v>
      </c>
      <c r="F29" s="1" t="s">
        <v>23</v>
      </c>
      <c r="G29" s="1" t="s">
        <v>143</v>
      </c>
      <c r="H29" s="1" t="s">
        <v>64</v>
      </c>
      <c r="I29" s="3" t="n">
        <v>585000000</v>
      </c>
    </row>
    <row r="30" customFormat="false" ht="15" hidden="false" customHeight="false" outlineLevel="0" collapsed="false">
      <c r="A30" s="1" t="n">
        <v>36</v>
      </c>
      <c r="B30" s="2" t="n">
        <v>43713</v>
      </c>
      <c r="C30" s="1" t="s">
        <v>144</v>
      </c>
      <c r="D30" s="1" t="s">
        <v>69</v>
      </c>
      <c r="E30" s="1" t="s">
        <v>145</v>
      </c>
      <c r="F30" s="1" t="s">
        <v>53</v>
      </c>
      <c r="G30" s="1" t="s">
        <v>146</v>
      </c>
      <c r="H30" s="1" t="s">
        <v>147</v>
      </c>
      <c r="I30" s="3" t="n">
        <v>4500000</v>
      </c>
    </row>
    <row r="31" customFormat="false" ht="15" hidden="false" customHeight="false" outlineLevel="0" collapsed="false">
      <c r="A31" s="1" t="n">
        <v>37</v>
      </c>
      <c r="B31" s="2" t="n">
        <v>43712</v>
      </c>
      <c r="C31" s="1" t="s">
        <v>148</v>
      </c>
      <c r="D31" s="1" t="s">
        <v>69</v>
      </c>
      <c r="E31" s="1" t="s">
        <v>149</v>
      </c>
      <c r="F31" s="1" t="s">
        <v>35</v>
      </c>
      <c r="G31" s="1" t="s">
        <v>150</v>
      </c>
      <c r="H31" s="1" t="s">
        <v>55</v>
      </c>
      <c r="I31" s="3" t="n">
        <v>3300000</v>
      </c>
    </row>
    <row r="32" customFormat="false" ht="15" hidden="false" customHeight="false" outlineLevel="0" collapsed="false">
      <c r="A32" s="1" t="n">
        <v>38</v>
      </c>
      <c r="B32" s="2" t="n">
        <v>43712</v>
      </c>
      <c r="C32" s="1" t="s">
        <v>151</v>
      </c>
      <c r="D32" s="1" t="s">
        <v>152</v>
      </c>
      <c r="E32" s="1" t="s">
        <v>153</v>
      </c>
      <c r="F32" s="1" t="s">
        <v>35</v>
      </c>
      <c r="G32" s="1" t="s">
        <v>154</v>
      </c>
      <c r="H32" s="1" t="s">
        <v>155</v>
      </c>
      <c r="I32" s="3" t="n">
        <v>6000000</v>
      </c>
    </row>
    <row r="33" customFormat="false" ht="15" hidden="false" customHeight="false" outlineLevel="0" collapsed="false">
      <c r="A33" s="1" t="n">
        <v>39</v>
      </c>
      <c r="B33" s="2" t="n">
        <v>43712</v>
      </c>
      <c r="C33" s="1" t="s">
        <v>156</v>
      </c>
      <c r="D33" s="1" t="s">
        <v>74</v>
      </c>
      <c r="E33" s="1" t="s">
        <v>157</v>
      </c>
      <c r="F33" s="1" t="s">
        <v>158</v>
      </c>
      <c r="G33" s="1" t="s">
        <v>159</v>
      </c>
      <c r="H33" s="1" t="s">
        <v>160</v>
      </c>
      <c r="I33" s="3" t="n">
        <v>5000000</v>
      </c>
    </row>
    <row r="34" customFormat="false" ht="15" hidden="false" customHeight="false" outlineLevel="0" collapsed="false">
      <c r="A34" s="1" t="n">
        <v>40</v>
      </c>
      <c r="B34" s="2" t="n">
        <v>43712</v>
      </c>
      <c r="C34" s="1" t="s">
        <v>161</v>
      </c>
      <c r="D34" s="1" t="s">
        <v>162</v>
      </c>
      <c r="E34" s="1" t="s">
        <v>163</v>
      </c>
      <c r="F34" s="1" t="s">
        <v>164</v>
      </c>
      <c r="G34" s="1" t="s">
        <v>165</v>
      </c>
      <c r="H34" s="1" t="s">
        <v>55</v>
      </c>
      <c r="I34" s="3" t="n">
        <v>18000000</v>
      </c>
    </row>
    <row r="35" customFormat="false" ht="15" hidden="false" customHeight="false" outlineLevel="0" collapsed="false">
      <c r="A35" s="1" t="n">
        <v>41</v>
      </c>
      <c r="B35" s="2" t="n">
        <v>43712</v>
      </c>
      <c r="C35" s="1" t="s">
        <v>166</v>
      </c>
      <c r="D35" s="1" t="s">
        <v>167</v>
      </c>
      <c r="E35" s="1" t="s">
        <v>168</v>
      </c>
      <c r="F35" s="1" t="s">
        <v>23</v>
      </c>
      <c r="G35" s="1" t="s">
        <v>169</v>
      </c>
      <c r="H35" s="1" t="s">
        <v>68</v>
      </c>
      <c r="I35" s="3" t="n">
        <v>1000000</v>
      </c>
    </row>
    <row r="36" customFormat="false" ht="15" hidden="false" customHeight="false" outlineLevel="0" collapsed="false">
      <c r="A36" s="1" t="n">
        <v>42</v>
      </c>
      <c r="B36" s="2" t="n">
        <v>43712</v>
      </c>
      <c r="C36" s="1" t="s">
        <v>170</v>
      </c>
      <c r="D36" s="1" t="s">
        <v>171</v>
      </c>
      <c r="E36" s="1" t="s">
        <v>172</v>
      </c>
      <c r="F36" s="1" t="s">
        <v>35</v>
      </c>
      <c r="G36" s="1" t="s">
        <v>173</v>
      </c>
      <c r="H36" s="1" t="s">
        <v>55</v>
      </c>
      <c r="I36" s="3" t="n">
        <v>10000000</v>
      </c>
    </row>
    <row r="37" customFormat="false" ht="15" hidden="false" customHeight="false" outlineLevel="0" collapsed="false">
      <c r="A37" s="1" t="n">
        <v>43</v>
      </c>
      <c r="B37" s="2" t="n">
        <v>43712</v>
      </c>
      <c r="C37" s="1" t="s">
        <v>174</v>
      </c>
      <c r="D37" s="1" t="s">
        <v>87</v>
      </c>
      <c r="E37" s="1" t="s">
        <v>175</v>
      </c>
      <c r="F37" s="1" t="s">
        <v>176</v>
      </c>
      <c r="G37" s="1" t="s">
        <v>177</v>
      </c>
      <c r="H37" s="1" t="s">
        <v>25</v>
      </c>
      <c r="I37" s="3" t="n">
        <v>450000000</v>
      </c>
    </row>
    <row r="38" customFormat="false" ht="15" hidden="false" customHeight="false" outlineLevel="0" collapsed="false">
      <c r="A38" s="1" t="n">
        <v>44</v>
      </c>
      <c r="B38" s="2" t="n">
        <v>43711</v>
      </c>
      <c r="C38" s="1" t="s">
        <v>178</v>
      </c>
      <c r="D38" s="1" t="s">
        <v>179</v>
      </c>
      <c r="E38" s="1" t="s">
        <v>180</v>
      </c>
      <c r="F38" s="1" t="s">
        <v>23</v>
      </c>
      <c r="G38" s="1" t="s">
        <v>181</v>
      </c>
      <c r="H38" s="1" t="s">
        <v>55</v>
      </c>
      <c r="I38" s="3" t="n">
        <v>5000000</v>
      </c>
    </row>
    <row r="39" customFormat="false" ht="15" hidden="false" customHeight="false" outlineLevel="0" collapsed="false">
      <c r="A39" s="1" t="n">
        <v>61</v>
      </c>
      <c r="B39" s="2" t="n">
        <v>43704</v>
      </c>
      <c r="C39" s="1" t="s">
        <v>182</v>
      </c>
      <c r="D39" s="1" t="s">
        <v>183</v>
      </c>
      <c r="E39" s="1" t="s">
        <v>184</v>
      </c>
      <c r="F39" s="1" t="s">
        <v>23</v>
      </c>
      <c r="G39" s="1" t="s">
        <v>185</v>
      </c>
      <c r="H39" s="1" t="s">
        <v>90</v>
      </c>
      <c r="I39" s="3" t="n">
        <v>3900000000</v>
      </c>
      <c r="J39" s="1" t="s">
        <v>186</v>
      </c>
    </row>
    <row r="40" customFormat="false" ht="15" hidden="false" customHeight="false" outlineLevel="0" collapsed="false">
      <c r="A40" s="1" t="n">
        <v>53</v>
      </c>
      <c r="B40" s="2" t="n">
        <v>43700</v>
      </c>
      <c r="C40" s="1" t="s">
        <v>187</v>
      </c>
      <c r="D40" s="1" t="s">
        <v>188</v>
      </c>
      <c r="E40" s="1" t="s">
        <v>189</v>
      </c>
      <c r="F40" s="1" t="s">
        <v>116</v>
      </c>
      <c r="G40" s="1" t="s">
        <v>190</v>
      </c>
      <c r="H40" s="1" t="s">
        <v>90</v>
      </c>
      <c r="I40" s="3" t="n">
        <v>37000000</v>
      </c>
      <c r="J40" s="1" t="s">
        <v>186</v>
      </c>
    </row>
    <row r="41" customFormat="false" ht="15" hidden="false" customHeight="false" outlineLevel="0" collapsed="false">
      <c r="A41" s="1" t="n">
        <v>54</v>
      </c>
      <c r="B41" s="2" t="n">
        <v>43700</v>
      </c>
      <c r="C41" s="1" t="s">
        <v>191</v>
      </c>
      <c r="D41" s="1" t="s">
        <v>131</v>
      </c>
      <c r="E41" s="1" t="s">
        <v>192</v>
      </c>
      <c r="F41" s="1" t="s">
        <v>23</v>
      </c>
      <c r="G41" s="1" t="s">
        <v>193</v>
      </c>
      <c r="H41" s="1" t="s">
        <v>42</v>
      </c>
      <c r="I41" s="3" t="n">
        <v>500000</v>
      </c>
      <c r="J41" s="1" t="s">
        <v>186</v>
      </c>
    </row>
    <row r="42" customFormat="false" ht="15" hidden="false" customHeight="false" outlineLevel="0" collapsed="false">
      <c r="A42" s="1" t="n">
        <v>55</v>
      </c>
      <c r="B42" s="2" t="n">
        <v>43700</v>
      </c>
      <c r="C42" s="1" t="s">
        <v>194</v>
      </c>
      <c r="D42" s="1" t="s">
        <v>69</v>
      </c>
      <c r="E42" s="1" t="s">
        <v>195</v>
      </c>
      <c r="F42" s="1" t="s">
        <v>196</v>
      </c>
      <c r="G42" s="1" t="s">
        <v>197</v>
      </c>
      <c r="H42" s="1" t="s">
        <v>64</v>
      </c>
      <c r="I42" s="3" t="n">
        <v>110000000</v>
      </c>
      <c r="J42" s="1" t="s">
        <v>186</v>
      </c>
    </row>
    <row r="43" customFormat="false" ht="15" hidden="false" customHeight="false" outlineLevel="0" collapsed="false">
      <c r="A43" s="1" t="n">
        <v>58</v>
      </c>
      <c r="B43" s="2" t="n">
        <v>43700</v>
      </c>
      <c r="C43" s="1" t="s">
        <v>198</v>
      </c>
      <c r="D43" s="1" t="s">
        <v>199</v>
      </c>
      <c r="E43" s="1" t="s">
        <v>200</v>
      </c>
      <c r="F43" s="1" t="s">
        <v>59</v>
      </c>
      <c r="G43" s="1" t="s">
        <v>201</v>
      </c>
      <c r="H43" s="1" t="s">
        <v>42</v>
      </c>
      <c r="I43" s="3" t="n">
        <v>1000000</v>
      </c>
      <c r="J43" s="1" t="s">
        <v>186</v>
      </c>
    </row>
    <row r="44" customFormat="false" ht="15" hidden="false" customHeight="false" outlineLevel="0" collapsed="false">
      <c r="A44" s="1" t="n">
        <v>56</v>
      </c>
      <c r="B44" s="2" t="n">
        <v>43699</v>
      </c>
      <c r="C44" s="1" t="s">
        <v>202</v>
      </c>
      <c r="D44" s="1" t="s">
        <v>69</v>
      </c>
      <c r="E44" s="1" t="s">
        <v>203</v>
      </c>
      <c r="F44" s="1" t="s">
        <v>47</v>
      </c>
      <c r="G44" s="1" t="s">
        <v>204</v>
      </c>
      <c r="H44" s="1" t="s">
        <v>205</v>
      </c>
      <c r="I44" s="3" t="n">
        <v>15000000</v>
      </c>
      <c r="J44" s="1" t="s">
        <v>186</v>
      </c>
    </row>
    <row r="45" customFormat="false" ht="15" hidden="false" customHeight="false" outlineLevel="0" collapsed="false">
      <c r="A45" s="1" t="n">
        <v>57</v>
      </c>
      <c r="B45" s="2" t="n">
        <v>43698</v>
      </c>
      <c r="C45" s="1" t="s">
        <v>206</v>
      </c>
      <c r="D45" s="1" t="s">
        <v>96</v>
      </c>
      <c r="E45" s="1" t="s">
        <v>207</v>
      </c>
      <c r="F45" s="1" t="s">
        <v>23</v>
      </c>
      <c r="G45" s="1" t="s">
        <v>208</v>
      </c>
      <c r="H45" s="1" t="s">
        <v>25</v>
      </c>
      <c r="I45" s="3" t="n">
        <v>6590000</v>
      </c>
      <c r="J45" s="1" t="s">
        <v>186</v>
      </c>
    </row>
    <row r="46" customFormat="false" ht="15" hidden="true" customHeight="false" outlineLevel="0" collapsed="false">
      <c r="A46" s="1" t="n">
        <v>59</v>
      </c>
      <c r="B46" s="2" t="n">
        <v>43696</v>
      </c>
      <c r="C46" s="1" t="s">
        <v>209</v>
      </c>
      <c r="D46" s="1" t="s">
        <v>210</v>
      </c>
      <c r="E46" s="1" t="s">
        <v>211</v>
      </c>
      <c r="F46" s="1" t="s">
        <v>47</v>
      </c>
      <c r="G46" s="1" t="s">
        <v>212</v>
      </c>
      <c r="H46" s="1" t="s">
        <v>55</v>
      </c>
      <c r="I46" s="3" t="s">
        <v>213</v>
      </c>
      <c r="J46" s="1" t="s">
        <v>186</v>
      </c>
    </row>
    <row r="47" customFormat="false" ht="15" hidden="false" customHeight="false" outlineLevel="0" collapsed="false">
      <c r="A47" s="1" t="n">
        <v>60</v>
      </c>
      <c r="B47" s="2" t="n">
        <v>43696</v>
      </c>
      <c r="C47" s="1" t="s">
        <v>214</v>
      </c>
      <c r="D47" s="1" t="s">
        <v>14</v>
      </c>
      <c r="E47" s="1" t="s">
        <v>215</v>
      </c>
      <c r="F47" s="1" t="s">
        <v>47</v>
      </c>
      <c r="G47" s="1" t="s">
        <v>216</v>
      </c>
      <c r="H47" s="1" t="s">
        <v>49</v>
      </c>
      <c r="I47" s="3" t="n">
        <v>70000000</v>
      </c>
      <c r="J47" s="1" t="s">
        <v>186</v>
      </c>
    </row>
    <row r="48" customFormat="false" ht="15" hidden="false" customHeight="false" outlineLevel="0" collapsed="false">
      <c r="A48" s="1" t="n">
        <v>51</v>
      </c>
      <c r="B48" s="2" t="n">
        <v>43690</v>
      </c>
      <c r="C48" s="1" t="s">
        <v>217</v>
      </c>
      <c r="D48" s="1" t="s">
        <v>14</v>
      </c>
      <c r="E48" s="1" t="s">
        <v>218</v>
      </c>
      <c r="F48" s="1" t="s">
        <v>219</v>
      </c>
      <c r="G48" s="1" t="s">
        <v>220</v>
      </c>
      <c r="H48" s="1" t="s">
        <v>64</v>
      </c>
      <c r="I48" s="3" t="n">
        <v>11000000</v>
      </c>
      <c r="J48" s="1" t="s">
        <v>186</v>
      </c>
    </row>
    <row r="49" customFormat="false" ht="15" hidden="false" customHeight="false" outlineLevel="0" collapsed="false">
      <c r="A49" s="1" t="n">
        <v>52</v>
      </c>
      <c r="B49" s="2" t="n">
        <v>43690</v>
      </c>
      <c r="C49" s="1" t="s">
        <v>221</v>
      </c>
      <c r="D49" s="1" t="s">
        <v>222</v>
      </c>
      <c r="E49" s="1" t="s">
        <v>223</v>
      </c>
      <c r="F49" s="1" t="s">
        <v>224</v>
      </c>
      <c r="G49" s="1" t="s">
        <v>225</v>
      </c>
      <c r="H49" s="1" t="s">
        <v>25</v>
      </c>
      <c r="I49" s="3" t="n">
        <v>51000000</v>
      </c>
      <c r="J49" s="1" t="s">
        <v>186</v>
      </c>
    </row>
    <row r="50" customFormat="false" ht="15" hidden="false" customHeight="false" outlineLevel="0" collapsed="false">
      <c r="A50" s="1" t="n">
        <v>50</v>
      </c>
      <c r="B50" s="2" t="n">
        <v>43689</v>
      </c>
      <c r="C50" s="1" t="s">
        <v>226</v>
      </c>
      <c r="D50" s="1" t="s">
        <v>14</v>
      </c>
      <c r="E50" s="1" t="s">
        <v>227</v>
      </c>
      <c r="F50" s="1" t="s">
        <v>23</v>
      </c>
      <c r="G50" s="1" t="s">
        <v>228</v>
      </c>
      <c r="H50" s="1" t="s">
        <v>64</v>
      </c>
      <c r="I50" s="3" t="n">
        <v>125000000</v>
      </c>
      <c r="J50" s="1" t="s">
        <v>186</v>
      </c>
    </row>
    <row r="51" customFormat="false" ht="15" hidden="false" customHeight="false" outlineLevel="0" collapsed="false">
      <c r="A51" s="1" t="n">
        <v>45</v>
      </c>
      <c r="B51" s="2" t="n">
        <v>43678</v>
      </c>
      <c r="C51" s="1" t="s">
        <v>31</v>
      </c>
      <c r="D51" s="1" t="s">
        <v>14</v>
      </c>
      <c r="E51" s="1" t="s">
        <v>188</v>
      </c>
      <c r="F51" s="1" t="s">
        <v>47</v>
      </c>
      <c r="G51" s="1" t="s">
        <v>229</v>
      </c>
      <c r="H51" s="1" t="s">
        <v>25</v>
      </c>
      <c r="I51" s="3" t="n">
        <v>20000000</v>
      </c>
      <c r="J51" s="1" t="s">
        <v>186</v>
      </c>
    </row>
    <row r="52" customFormat="false" ht="15" hidden="false" customHeight="false" outlineLevel="0" collapsed="false">
      <c r="A52" s="1" t="n">
        <v>46</v>
      </c>
      <c r="B52" s="2" t="n">
        <v>43678</v>
      </c>
      <c r="C52" s="1" t="s">
        <v>230</v>
      </c>
      <c r="D52" s="1" t="s">
        <v>33</v>
      </c>
      <c r="E52" s="1" t="s">
        <v>231</v>
      </c>
      <c r="F52" s="1" t="s">
        <v>232</v>
      </c>
      <c r="G52" s="1" t="s">
        <v>233</v>
      </c>
      <c r="H52" s="1" t="s">
        <v>55</v>
      </c>
      <c r="I52" s="3" t="n">
        <v>5000000</v>
      </c>
      <c r="J52" s="1" t="s">
        <v>186</v>
      </c>
    </row>
    <row r="53" customFormat="false" ht="15" hidden="false" customHeight="false" outlineLevel="0" collapsed="false">
      <c r="A53" s="1" t="n">
        <v>47</v>
      </c>
      <c r="B53" s="2" t="n">
        <v>43678</v>
      </c>
      <c r="C53" s="1" t="s">
        <v>234</v>
      </c>
      <c r="D53" s="1" t="s">
        <v>235</v>
      </c>
      <c r="E53" s="1" t="s">
        <v>236</v>
      </c>
      <c r="F53" s="1" t="s">
        <v>23</v>
      </c>
      <c r="H53" s="1" t="s">
        <v>237</v>
      </c>
      <c r="I53" s="3" t="n">
        <v>1600000</v>
      </c>
      <c r="J53" s="1" t="s">
        <v>186</v>
      </c>
    </row>
    <row r="54" customFormat="false" ht="15" hidden="false" customHeight="false" outlineLevel="0" collapsed="false">
      <c r="A54" s="1" t="n">
        <v>48</v>
      </c>
      <c r="B54" s="2" t="n">
        <v>43678</v>
      </c>
      <c r="C54" s="1" t="s">
        <v>238</v>
      </c>
      <c r="D54" s="1" t="s">
        <v>33</v>
      </c>
      <c r="E54" s="1" t="s">
        <v>239</v>
      </c>
      <c r="F54" s="1" t="s">
        <v>35</v>
      </c>
      <c r="G54" s="1" t="s">
        <v>240</v>
      </c>
      <c r="H54" s="1" t="s">
        <v>241</v>
      </c>
      <c r="I54" s="3" t="n">
        <v>140000000</v>
      </c>
      <c r="J54" s="1" t="s">
        <v>186</v>
      </c>
    </row>
    <row r="55" customFormat="false" ht="15" hidden="false" customHeight="false" outlineLevel="0" collapsed="false">
      <c r="A55" s="1" t="n">
        <v>49</v>
      </c>
      <c r="B55" s="2" t="n">
        <v>43678</v>
      </c>
      <c r="C55" s="1" t="s">
        <v>242</v>
      </c>
      <c r="D55" s="1" t="s">
        <v>167</v>
      </c>
      <c r="E55" s="1" t="s">
        <v>243</v>
      </c>
      <c r="F55" s="1" t="s">
        <v>59</v>
      </c>
      <c r="G55" s="1" t="s">
        <v>244</v>
      </c>
      <c r="H55" s="1" t="s">
        <v>134</v>
      </c>
      <c r="I55" s="3" t="n">
        <v>38080000</v>
      </c>
      <c r="J55" s="1" t="s">
        <v>186</v>
      </c>
    </row>
    <row r="56" customFormat="false" ht="15" hidden="false" customHeight="false" outlineLevel="0" collapsed="false">
      <c r="A56" s="1" t="n">
        <v>69</v>
      </c>
      <c r="B56" s="2" t="n">
        <v>43657</v>
      </c>
      <c r="C56" s="1" t="s">
        <v>245</v>
      </c>
      <c r="D56" s="1" t="s">
        <v>14</v>
      </c>
      <c r="E56" s="1" t="s">
        <v>246</v>
      </c>
      <c r="F56" s="1" t="s">
        <v>247</v>
      </c>
      <c r="G56" s="1" t="s">
        <v>248</v>
      </c>
      <c r="H56" s="1" t="s">
        <v>64</v>
      </c>
      <c r="I56" s="3" t="n">
        <v>60000000</v>
      </c>
      <c r="J56" s="1" t="s">
        <v>186</v>
      </c>
    </row>
    <row r="57" customFormat="false" ht="15" hidden="false" customHeight="false" outlineLevel="0" collapsed="false">
      <c r="A57" s="1" t="n">
        <v>68</v>
      </c>
      <c r="B57" s="2" t="n">
        <v>43656</v>
      </c>
      <c r="C57" s="1" t="s">
        <v>249</v>
      </c>
      <c r="D57" s="1" t="s">
        <v>199</v>
      </c>
      <c r="E57" s="1" t="s">
        <v>83</v>
      </c>
      <c r="F57" s="1" t="s">
        <v>23</v>
      </c>
      <c r="G57" s="1" t="s">
        <v>250</v>
      </c>
      <c r="H57" s="1" t="s">
        <v>155</v>
      </c>
      <c r="I57" s="3" t="n">
        <v>150000000</v>
      </c>
      <c r="J57" s="1" t="s">
        <v>186</v>
      </c>
    </row>
    <row r="58" customFormat="false" ht="15" hidden="false" customHeight="false" outlineLevel="0" collapsed="false">
      <c r="A58" s="1" t="n">
        <v>70</v>
      </c>
      <c r="B58" s="2" t="n">
        <v>43656</v>
      </c>
      <c r="C58" s="1" t="s">
        <v>251</v>
      </c>
      <c r="D58" s="1" t="s">
        <v>252</v>
      </c>
      <c r="E58" s="1" t="s">
        <v>253</v>
      </c>
      <c r="F58" s="1" t="s">
        <v>247</v>
      </c>
      <c r="G58" s="1" t="s">
        <v>213</v>
      </c>
      <c r="H58" s="1" t="s">
        <v>90</v>
      </c>
      <c r="I58" s="3" t="n">
        <v>16000000</v>
      </c>
      <c r="J58" s="1" t="s">
        <v>186</v>
      </c>
    </row>
    <row r="59" customFormat="false" ht="15" hidden="false" customHeight="false" outlineLevel="0" collapsed="false">
      <c r="A59" s="1" t="n">
        <v>71</v>
      </c>
      <c r="B59" s="2" t="n">
        <v>43656</v>
      </c>
      <c r="C59" s="1" t="s">
        <v>254</v>
      </c>
      <c r="D59" s="1" t="s">
        <v>252</v>
      </c>
      <c r="E59" s="1" t="s">
        <v>255</v>
      </c>
      <c r="F59" s="1" t="s">
        <v>256</v>
      </c>
      <c r="G59" s="1" t="s">
        <v>257</v>
      </c>
      <c r="H59" s="1" t="s">
        <v>90</v>
      </c>
      <c r="I59" s="3" t="n">
        <v>5750000</v>
      </c>
      <c r="J59" s="1" t="s">
        <v>186</v>
      </c>
    </row>
    <row r="60" customFormat="false" ht="15" hidden="false" customHeight="false" outlineLevel="0" collapsed="false">
      <c r="A60" s="1" t="n">
        <v>72</v>
      </c>
      <c r="B60" s="2" t="n">
        <v>43656</v>
      </c>
      <c r="C60" s="1" t="s">
        <v>258</v>
      </c>
      <c r="D60" s="1" t="s">
        <v>259</v>
      </c>
      <c r="E60" s="1" t="s">
        <v>260</v>
      </c>
      <c r="F60" s="1" t="s">
        <v>35</v>
      </c>
      <c r="G60" s="1" t="s">
        <v>261</v>
      </c>
      <c r="H60" s="1" t="s">
        <v>55</v>
      </c>
      <c r="I60" s="3" t="n">
        <v>2500000</v>
      </c>
      <c r="J60" s="1" t="s">
        <v>186</v>
      </c>
    </row>
    <row r="61" customFormat="false" ht="15" hidden="false" customHeight="false" outlineLevel="0" collapsed="false">
      <c r="A61" s="1" t="n">
        <v>73</v>
      </c>
      <c r="B61" s="2" t="n">
        <v>43655</v>
      </c>
      <c r="C61" s="1" t="s">
        <v>262</v>
      </c>
      <c r="D61" s="1" t="s">
        <v>263</v>
      </c>
      <c r="E61" s="1" t="s">
        <v>264</v>
      </c>
      <c r="F61" s="1" t="s">
        <v>35</v>
      </c>
      <c r="G61" s="1" t="s">
        <v>265</v>
      </c>
      <c r="H61" s="1" t="s">
        <v>55</v>
      </c>
      <c r="I61" s="3" t="n">
        <v>1000000</v>
      </c>
      <c r="J61" s="1" t="s">
        <v>186</v>
      </c>
    </row>
    <row r="62" customFormat="false" ht="15" hidden="false" customHeight="false" outlineLevel="0" collapsed="false">
      <c r="A62" s="1" t="n">
        <v>74</v>
      </c>
      <c r="B62" s="2" t="n">
        <v>43654</v>
      </c>
      <c r="C62" s="1" t="s">
        <v>266</v>
      </c>
      <c r="D62" s="1" t="s">
        <v>199</v>
      </c>
      <c r="E62" s="1" t="s">
        <v>267</v>
      </c>
      <c r="F62" s="1" t="s">
        <v>268</v>
      </c>
      <c r="G62" s="1" t="s">
        <v>269</v>
      </c>
      <c r="H62" s="1" t="s">
        <v>270</v>
      </c>
      <c r="I62" s="3" t="n">
        <v>319605</v>
      </c>
      <c r="J62" s="1" t="s">
        <v>186</v>
      </c>
    </row>
    <row r="63" customFormat="false" ht="15" hidden="false" customHeight="false" outlineLevel="0" collapsed="false">
      <c r="A63" s="1" t="n">
        <v>67</v>
      </c>
      <c r="B63" s="2" t="n">
        <v>43650</v>
      </c>
      <c r="C63" s="1" t="s">
        <v>271</v>
      </c>
      <c r="D63" s="1" t="s">
        <v>96</v>
      </c>
      <c r="E63" s="1" t="s">
        <v>272</v>
      </c>
      <c r="F63" s="1" t="s">
        <v>232</v>
      </c>
      <c r="G63" s="1" t="s">
        <v>273</v>
      </c>
      <c r="H63" s="1" t="s">
        <v>42</v>
      </c>
      <c r="I63" s="3" t="n">
        <v>500000</v>
      </c>
      <c r="J63" s="1" t="s">
        <v>186</v>
      </c>
    </row>
    <row r="64" customFormat="false" ht="15" hidden="false" customHeight="false" outlineLevel="0" collapsed="false">
      <c r="A64" s="1" t="n">
        <v>65</v>
      </c>
      <c r="B64" s="2" t="n">
        <v>43649</v>
      </c>
      <c r="C64" s="1" t="s">
        <v>274</v>
      </c>
      <c r="D64" s="1" t="s">
        <v>275</v>
      </c>
      <c r="E64" s="1" t="s">
        <v>276</v>
      </c>
      <c r="F64" s="1" t="s">
        <v>107</v>
      </c>
      <c r="G64" s="1" t="s">
        <v>277</v>
      </c>
      <c r="H64" s="1" t="s">
        <v>278</v>
      </c>
      <c r="I64" s="3" t="n">
        <v>1000000</v>
      </c>
      <c r="J64" s="1" t="s">
        <v>186</v>
      </c>
    </row>
    <row r="65" customFormat="false" ht="15" hidden="false" customHeight="false" outlineLevel="0" collapsed="false">
      <c r="A65" s="1" t="n">
        <v>62</v>
      </c>
      <c r="B65" s="2" t="n">
        <v>43648</v>
      </c>
      <c r="C65" s="1" t="s">
        <v>279</v>
      </c>
      <c r="D65" s="1" t="s">
        <v>33</v>
      </c>
      <c r="E65" s="1" t="s">
        <v>280</v>
      </c>
      <c r="F65" s="1" t="s">
        <v>47</v>
      </c>
      <c r="G65" s="1" t="s">
        <v>281</v>
      </c>
      <c r="H65" s="1" t="s">
        <v>90</v>
      </c>
      <c r="I65" s="3" t="n">
        <v>19000000</v>
      </c>
      <c r="J65" s="1" t="s">
        <v>186</v>
      </c>
    </row>
    <row r="66" customFormat="false" ht="15" hidden="false" customHeight="false" outlineLevel="0" collapsed="false">
      <c r="A66" s="1" t="n">
        <v>63</v>
      </c>
      <c r="B66" s="2" t="n">
        <v>43648</v>
      </c>
      <c r="C66" s="1" t="s">
        <v>282</v>
      </c>
      <c r="D66" s="1" t="s">
        <v>167</v>
      </c>
      <c r="E66" s="1" t="s">
        <v>283</v>
      </c>
      <c r="F66" s="1" t="s">
        <v>247</v>
      </c>
      <c r="G66" s="1" t="s">
        <v>284</v>
      </c>
      <c r="H66" s="1" t="s">
        <v>285</v>
      </c>
      <c r="I66" s="3" t="n">
        <v>2500000</v>
      </c>
      <c r="J66" s="1" t="s">
        <v>186</v>
      </c>
    </row>
    <row r="67" customFormat="false" ht="15" hidden="false" customHeight="false" outlineLevel="0" collapsed="false">
      <c r="A67" s="1" t="n">
        <v>64</v>
      </c>
      <c r="B67" s="2" t="n">
        <v>43647</v>
      </c>
      <c r="C67" s="1" t="s">
        <v>286</v>
      </c>
      <c r="D67" s="1" t="s">
        <v>287</v>
      </c>
      <c r="E67" s="1" t="s">
        <v>288</v>
      </c>
      <c r="F67" s="1" t="s">
        <v>232</v>
      </c>
      <c r="G67" s="1" t="s">
        <v>289</v>
      </c>
      <c r="H67" s="1" t="s">
        <v>290</v>
      </c>
      <c r="I67" s="3" t="n">
        <v>145000</v>
      </c>
      <c r="J67" s="1" t="s">
        <v>186</v>
      </c>
    </row>
    <row r="68" customFormat="false" ht="15" hidden="false" customHeight="false" outlineLevel="0" collapsed="false">
      <c r="A68" s="1" t="n">
        <v>66</v>
      </c>
      <c r="B68" s="2" t="n">
        <v>43647</v>
      </c>
      <c r="C68" s="1" t="s">
        <v>221</v>
      </c>
      <c r="D68" s="1" t="s">
        <v>291</v>
      </c>
      <c r="E68" s="1" t="s">
        <v>292</v>
      </c>
      <c r="F68" s="1" t="s">
        <v>293</v>
      </c>
      <c r="G68" s="1" t="s">
        <v>225</v>
      </c>
      <c r="H68" s="1" t="s">
        <v>25</v>
      </c>
      <c r="I68" s="3" t="n">
        <v>38080000</v>
      </c>
      <c r="J68" s="1" t="s">
        <v>186</v>
      </c>
    </row>
    <row r="69" customFormat="false" ht="15" hidden="false" customHeight="false" outlineLevel="0" collapsed="false">
      <c r="A69" s="1" t="n">
        <v>85</v>
      </c>
      <c r="B69" s="2" t="n">
        <v>43626</v>
      </c>
      <c r="C69" s="1" t="s">
        <v>294</v>
      </c>
      <c r="D69" s="1" t="s">
        <v>295</v>
      </c>
      <c r="E69" s="1" t="s">
        <v>296</v>
      </c>
      <c r="F69" s="1" t="s">
        <v>23</v>
      </c>
      <c r="G69" s="1" t="s">
        <v>297</v>
      </c>
      <c r="H69" s="1" t="s">
        <v>81</v>
      </c>
      <c r="I69" s="3" t="n">
        <v>430200</v>
      </c>
      <c r="J69" s="1" t="s">
        <v>186</v>
      </c>
    </row>
    <row r="70" customFormat="false" ht="15" hidden="false" customHeight="false" outlineLevel="0" collapsed="false">
      <c r="A70" s="1" t="n">
        <v>86</v>
      </c>
      <c r="B70" s="2" t="n">
        <v>43626</v>
      </c>
      <c r="C70" s="1" t="s">
        <v>298</v>
      </c>
      <c r="D70" s="1" t="s">
        <v>69</v>
      </c>
      <c r="E70" s="1" t="s">
        <v>145</v>
      </c>
      <c r="F70" s="1" t="s">
        <v>299</v>
      </c>
      <c r="G70" s="1" t="s">
        <v>204</v>
      </c>
      <c r="H70" s="1" t="s">
        <v>55</v>
      </c>
      <c r="I70" s="3" t="n">
        <v>15500000</v>
      </c>
      <c r="J70" s="1" t="s">
        <v>186</v>
      </c>
    </row>
    <row r="71" customFormat="false" ht="15" hidden="false" customHeight="false" outlineLevel="0" collapsed="false">
      <c r="A71" s="1" t="n">
        <v>88</v>
      </c>
      <c r="B71" s="2" t="n">
        <v>43624</v>
      </c>
      <c r="C71" s="1" t="s">
        <v>300</v>
      </c>
      <c r="D71" s="1" t="s">
        <v>183</v>
      </c>
      <c r="E71" s="1" t="s">
        <v>301</v>
      </c>
      <c r="F71" s="1" t="s">
        <v>302</v>
      </c>
      <c r="G71" s="1" t="s">
        <v>238</v>
      </c>
      <c r="H71" s="1" t="s">
        <v>36</v>
      </c>
      <c r="I71" s="3" t="n">
        <v>3584000</v>
      </c>
      <c r="J71" s="1" t="s">
        <v>186</v>
      </c>
    </row>
    <row r="72" customFormat="false" ht="15" hidden="false" customHeight="false" outlineLevel="0" collapsed="false">
      <c r="A72" s="1" t="n">
        <v>82</v>
      </c>
      <c r="B72" s="2" t="n">
        <v>43622</v>
      </c>
      <c r="C72" s="1" t="s">
        <v>303</v>
      </c>
      <c r="D72" s="1" t="s">
        <v>304</v>
      </c>
      <c r="E72" s="1" t="s">
        <v>305</v>
      </c>
      <c r="F72" s="1" t="s">
        <v>306</v>
      </c>
      <c r="G72" s="1" t="s">
        <v>307</v>
      </c>
      <c r="I72" s="3" t="n">
        <v>2739034.68</v>
      </c>
      <c r="J72" s="1" t="s">
        <v>186</v>
      </c>
    </row>
    <row r="73" customFormat="false" ht="15" hidden="false" customHeight="false" outlineLevel="0" collapsed="false">
      <c r="A73" s="1" t="n">
        <v>83</v>
      </c>
      <c r="B73" s="2" t="n">
        <v>43622</v>
      </c>
      <c r="C73" s="1" t="s">
        <v>308</v>
      </c>
      <c r="D73" s="1" t="s">
        <v>309</v>
      </c>
      <c r="E73" s="1" t="s">
        <v>310</v>
      </c>
      <c r="F73" s="1" t="s">
        <v>232</v>
      </c>
      <c r="G73" s="1" t="s">
        <v>311</v>
      </c>
      <c r="H73" s="1" t="s">
        <v>55</v>
      </c>
      <c r="I73" s="3" t="n">
        <v>26000000</v>
      </c>
      <c r="J73" s="1" t="s">
        <v>186</v>
      </c>
    </row>
    <row r="74" customFormat="false" ht="15" hidden="false" customHeight="false" outlineLevel="0" collapsed="false">
      <c r="A74" s="1" t="n">
        <v>84</v>
      </c>
      <c r="B74" s="2" t="n">
        <v>43622</v>
      </c>
      <c r="C74" s="1" t="s">
        <v>312</v>
      </c>
      <c r="D74" s="1" t="s">
        <v>295</v>
      </c>
      <c r="E74" s="1" t="s">
        <v>313</v>
      </c>
      <c r="F74" s="1" t="s">
        <v>23</v>
      </c>
      <c r="G74" s="1" t="s">
        <v>314</v>
      </c>
      <c r="H74" s="1" t="s">
        <v>90</v>
      </c>
      <c r="I74" s="3" t="n">
        <v>15109500</v>
      </c>
      <c r="J74" s="1" t="s">
        <v>186</v>
      </c>
    </row>
    <row r="75" customFormat="false" ht="15" hidden="false" customHeight="false" outlineLevel="0" collapsed="false">
      <c r="A75" s="1" t="n">
        <v>87</v>
      </c>
      <c r="B75" s="2" t="n">
        <v>43988</v>
      </c>
      <c r="C75" s="1" t="s">
        <v>315</v>
      </c>
      <c r="D75" s="1" t="s">
        <v>69</v>
      </c>
      <c r="E75" s="1" t="s">
        <v>316</v>
      </c>
      <c r="F75" s="1" t="s">
        <v>317</v>
      </c>
      <c r="G75" s="1" t="s">
        <v>318</v>
      </c>
      <c r="H75" s="1" t="s">
        <v>90</v>
      </c>
      <c r="I75" s="3" t="n">
        <v>52000000</v>
      </c>
      <c r="J75" s="1" t="s">
        <v>186</v>
      </c>
    </row>
    <row r="76" customFormat="false" ht="15" hidden="false" customHeight="false" outlineLevel="0" collapsed="false">
      <c r="A76" s="1" t="n">
        <v>75</v>
      </c>
      <c r="B76" s="2" t="n">
        <v>43621</v>
      </c>
      <c r="C76" s="1" t="s">
        <v>319</v>
      </c>
      <c r="D76" s="1" t="s">
        <v>14</v>
      </c>
      <c r="E76" s="1" t="s">
        <v>320</v>
      </c>
      <c r="F76" s="1" t="s">
        <v>23</v>
      </c>
      <c r="G76" s="1" t="s">
        <v>321</v>
      </c>
      <c r="H76" s="1" t="s">
        <v>25</v>
      </c>
      <c r="I76" s="3" t="n">
        <v>51000000</v>
      </c>
      <c r="J76" s="1" t="s">
        <v>186</v>
      </c>
    </row>
    <row r="77" customFormat="false" ht="15" hidden="false" customHeight="false" outlineLevel="0" collapsed="false">
      <c r="A77" s="1" t="n">
        <v>76</v>
      </c>
      <c r="B77" s="2" t="n">
        <v>43620</v>
      </c>
      <c r="C77" s="1" t="s">
        <v>322</v>
      </c>
      <c r="D77" s="1" t="s">
        <v>96</v>
      </c>
      <c r="E77" s="1" t="s">
        <v>323</v>
      </c>
      <c r="F77" s="1" t="s">
        <v>232</v>
      </c>
      <c r="G77" s="1" t="s">
        <v>324</v>
      </c>
      <c r="H77" s="1" t="s">
        <v>36</v>
      </c>
      <c r="I77" s="3" t="n">
        <v>10000000</v>
      </c>
      <c r="J77" s="1" t="s">
        <v>186</v>
      </c>
    </row>
    <row r="78" customFormat="false" ht="15" hidden="false" customHeight="false" outlineLevel="0" collapsed="false">
      <c r="A78" s="1" t="n">
        <v>79</v>
      </c>
      <c r="B78" s="2" t="n">
        <v>43620</v>
      </c>
      <c r="C78" s="1" t="s">
        <v>325</v>
      </c>
      <c r="D78" s="1" t="s">
        <v>33</v>
      </c>
      <c r="E78" s="1" t="s">
        <v>69</v>
      </c>
      <c r="F78" s="1" t="s">
        <v>232</v>
      </c>
      <c r="G78" s="1" t="s">
        <v>326</v>
      </c>
      <c r="H78" s="1" t="s">
        <v>90</v>
      </c>
      <c r="I78" s="3" t="n">
        <v>75000000</v>
      </c>
      <c r="J78" s="1" t="s">
        <v>186</v>
      </c>
    </row>
    <row r="79" customFormat="false" ht="15" hidden="false" customHeight="false" outlineLevel="0" collapsed="false">
      <c r="A79" s="1" t="n">
        <v>80</v>
      </c>
      <c r="B79" s="2" t="n">
        <v>43620</v>
      </c>
      <c r="C79" s="1" t="s">
        <v>327</v>
      </c>
      <c r="D79" s="1" t="s">
        <v>328</v>
      </c>
      <c r="E79" s="1" t="s">
        <v>329</v>
      </c>
      <c r="F79" s="1" t="s">
        <v>158</v>
      </c>
      <c r="G79" s="1" t="s">
        <v>330</v>
      </c>
      <c r="H79" s="1" t="s">
        <v>331</v>
      </c>
      <c r="I79" s="3" t="n">
        <v>26000000</v>
      </c>
      <c r="J79" s="1" t="s">
        <v>186</v>
      </c>
    </row>
    <row r="80" customFormat="false" ht="15" hidden="false" customHeight="false" outlineLevel="0" collapsed="false">
      <c r="A80" s="1" t="n">
        <v>89</v>
      </c>
      <c r="B80" s="2" t="n">
        <v>43620</v>
      </c>
      <c r="C80" s="1" t="s">
        <v>332</v>
      </c>
      <c r="D80" s="1" t="s">
        <v>210</v>
      </c>
      <c r="E80" s="1" t="s">
        <v>333</v>
      </c>
      <c r="F80" s="1" t="s">
        <v>334</v>
      </c>
      <c r="G80" s="1" t="s">
        <v>335</v>
      </c>
      <c r="H80" s="1" t="s">
        <v>55</v>
      </c>
      <c r="I80" s="3" t="n">
        <v>3400000</v>
      </c>
      <c r="J80" s="1" t="s">
        <v>186</v>
      </c>
    </row>
    <row r="81" customFormat="false" ht="15" hidden="false" customHeight="false" outlineLevel="0" collapsed="false">
      <c r="A81" s="1" t="n">
        <v>77</v>
      </c>
      <c r="B81" s="2" t="n">
        <v>43619</v>
      </c>
      <c r="C81" s="1" t="s">
        <v>336</v>
      </c>
      <c r="D81" s="1" t="s">
        <v>14</v>
      </c>
      <c r="E81" s="1" t="s">
        <v>337</v>
      </c>
      <c r="F81" s="1" t="s">
        <v>47</v>
      </c>
      <c r="G81" s="1" t="s">
        <v>338</v>
      </c>
      <c r="I81" s="3" t="n">
        <v>4889975.54</v>
      </c>
      <c r="J81" s="1" t="s">
        <v>186</v>
      </c>
    </row>
    <row r="82" customFormat="false" ht="15" hidden="false" customHeight="false" outlineLevel="0" collapsed="false">
      <c r="A82" s="1" t="n">
        <v>78</v>
      </c>
      <c r="B82" s="2" t="n">
        <v>43619</v>
      </c>
      <c r="C82" s="1" t="s">
        <v>339</v>
      </c>
      <c r="D82" s="1" t="s">
        <v>33</v>
      </c>
      <c r="E82" s="1" t="s">
        <v>69</v>
      </c>
      <c r="F82" s="1" t="s">
        <v>23</v>
      </c>
      <c r="G82" s="1" t="s">
        <v>340</v>
      </c>
      <c r="H82" s="1" t="s">
        <v>55</v>
      </c>
      <c r="I82" s="3" t="n">
        <v>9000000</v>
      </c>
      <c r="J82" s="1" t="s">
        <v>186</v>
      </c>
    </row>
    <row r="83" customFormat="false" ht="15" hidden="false" customHeight="false" outlineLevel="0" collapsed="false">
      <c r="A83" s="1" t="n">
        <v>81</v>
      </c>
      <c r="B83" s="2" t="n">
        <v>43619</v>
      </c>
      <c r="C83" s="1" t="s">
        <v>341</v>
      </c>
      <c r="D83" s="1" t="s">
        <v>342</v>
      </c>
      <c r="E83" s="1" t="s">
        <v>291</v>
      </c>
      <c r="F83" s="1" t="s">
        <v>23</v>
      </c>
      <c r="G83" s="1" t="s">
        <v>343</v>
      </c>
      <c r="H83" s="1" t="s">
        <v>331</v>
      </c>
      <c r="I83" s="3" t="n">
        <v>2500000</v>
      </c>
      <c r="J83" s="1" t="s">
        <v>186</v>
      </c>
    </row>
    <row r="84" customFormat="false" ht="15" hidden="false" customHeight="false" outlineLevel="0" collapsed="false">
      <c r="A84" s="1" t="n">
        <v>98</v>
      </c>
      <c r="B84" s="2" t="n">
        <v>43616</v>
      </c>
      <c r="C84" s="1" t="s">
        <v>322</v>
      </c>
      <c r="D84" s="1" t="s">
        <v>96</v>
      </c>
      <c r="E84" s="1" t="s">
        <v>323</v>
      </c>
      <c r="F84" s="1" t="s">
        <v>232</v>
      </c>
      <c r="G84" s="1" t="s">
        <v>344</v>
      </c>
      <c r="H84" s="1" t="s">
        <v>90</v>
      </c>
      <c r="I84" s="3" t="n">
        <v>5600000</v>
      </c>
      <c r="J84" s="1" t="s">
        <v>186</v>
      </c>
    </row>
    <row r="85" customFormat="false" ht="15" hidden="false" customHeight="false" outlineLevel="0" collapsed="false">
      <c r="A85" s="1" t="n">
        <v>97</v>
      </c>
      <c r="B85" s="2" t="n">
        <v>43615</v>
      </c>
      <c r="C85" s="1" t="s">
        <v>345</v>
      </c>
      <c r="D85" s="1" t="s">
        <v>346</v>
      </c>
      <c r="E85" s="1" t="s">
        <v>235</v>
      </c>
      <c r="F85" s="1" t="s">
        <v>23</v>
      </c>
      <c r="G85" s="1" t="s">
        <v>347</v>
      </c>
      <c r="H85" s="1" t="s">
        <v>90</v>
      </c>
      <c r="I85" s="3" t="n">
        <v>11500000</v>
      </c>
      <c r="J85" s="1" t="s">
        <v>186</v>
      </c>
    </row>
    <row r="86" customFormat="false" ht="15" hidden="false" customHeight="false" outlineLevel="0" collapsed="false">
      <c r="A86" s="1" t="n">
        <v>95</v>
      </c>
      <c r="B86" s="2" t="n">
        <v>43613</v>
      </c>
      <c r="C86" s="1" t="s">
        <v>348</v>
      </c>
      <c r="D86" s="1" t="s">
        <v>62</v>
      </c>
      <c r="E86" s="1" t="s">
        <v>349</v>
      </c>
      <c r="F86" s="1" t="s">
        <v>23</v>
      </c>
      <c r="G86" s="1" t="s">
        <v>350</v>
      </c>
      <c r="H86" s="1" t="s">
        <v>25</v>
      </c>
      <c r="I86" s="3" t="n">
        <v>51000000</v>
      </c>
      <c r="J86" s="1" t="s">
        <v>186</v>
      </c>
    </row>
    <row r="87" customFormat="false" ht="15" hidden="false" customHeight="false" outlineLevel="0" collapsed="false">
      <c r="A87" s="1" t="n">
        <v>96</v>
      </c>
      <c r="B87" s="2" t="n">
        <v>43613</v>
      </c>
      <c r="C87" s="1" t="s">
        <v>351</v>
      </c>
      <c r="D87" s="1" t="s">
        <v>352</v>
      </c>
      <c r="E87" s="1" t="s">
        <v>353</v>
      </c>
      <c r="F87" s="1" t="s">
        <v>35</v>
      </c>
      <c r="G87" s="1" t="s">
        <v>354</v>
      </c>
      <c r="H87" s="1" t="s">
        <v>42</v>
      </c>
      <c r="I87" s="3" t="n">
        <v>140000000</v>
      </c>
      <c r="J87" s="1" t="s">
        <v>186</v>
      </c>
    </row>
    <row r="88" customFormat="false" ht="15" hidden="true" customHeight="false" outlineLevel="0" collapsed="false">
      <c r="A88" s="1" t="n">
        <v>90</v>
      </c>
      <c r="B88" s="2" t="n">
        <v>43591</v>
      </c>
      <c r="C88" s="1" t="s">
        <v>355</v>
      </c>
      <c r="D88" s="1" t="s">
        <v>275</v>
      </c>
      <c r="E88" s="1" t="s">
        <v>276</v>
      </c>
      <c r="F88" s="1" t="s">
        <v>23</v>
      </c>
      <c r="G88" s="1" t="s">
        <v>356</v>
      </c>
      <c r="H88" s="1" t="s">
        <v>55</v>
      </c>
      <c r="I88" s="3" t="s">
        <v>100</v>
      </c>
      <c r="J88" s="1" t="s">
        <v>186</v>
      </c>
    </row>
    <row r="89" customFormat="false" ht="15" hidden="false" customHeight="false" outlineLevel="0" collapsed="false">
      <c r="A89" s="1" t="n">
        <v>91</v>
      </c>
      <c r="B89" s="2" t="n">
        <v>43591</v>
      </c>
      <c r="C89" s="1" t="s">
        <v>357</v>
      </c>
      <c r="D89" s="1" t="s">
        <v>328</v>
      </c>
      <c r="E89" s="1" t="s">
        <v>329</v>
      </c>
      <c r="F89" s="1" t="s">
        <v>23</v>
      </c>
      <c r="G89" s="1" t="s">
        <v>358</v>
      </c>
      <c r="H89" s="1" t="s">
        <v>359</v>
      </c>
      <c r="I89" s="3" t="n">
        <v>868600</v>
      </c>
      <c r="J89" s="1" t="s">
        <v>186</v>
      </c>
    </row>
    <row r="90" customFormat="false" ht="15" hidden="true" customHeight="false" outlineLevel="0" collapsed="false">
      <c r="A90" s="1" t="n">
        <v>92</v>
      </c>
      <c r="B90" s="2" t="n">
        <v>43590</v>
      </c>
      <c r="C90" s="1" t="s">
        <v>360</v>
      </c>
      <c r="D90" s="1" t="s">
        <v>346</v>
      </c>
      <c r="E90" s="1" t="s">
        <v>361</v>
      </c>
      <c r="F90" s="1" t="s">
        <v>79</v>
      </c>
      <c r="G90" s="1" t="s">
        <v>362</v>
      </c>
      <c r="H90" s="1" t="s">
        <v>363</v>
      </c>
      <c r="I90" s="3" t="s">
        <v>100</v>
      </c>
      <c r="J90" s="1" t="s">
        <v>186</v>
      </c>
    </row>
    <row r="91" customFormat="false" ht="15" hidden="false" customHeight="false" outlineLevel="0" collapsed="false">
      <c r="A91" s="1" t="n">
        <v>94</v>
      </c>
      <c r="B91" s="2" t="n">
        <v>43587</v>
      </c>
      <c r="C91" s="1" t="s">
        <v>364</v>
      </c>
      <c r="D91" s="1" t="s">
        <v>365</v>
      </c>
      <c r="E91" s="1" t="s">
        <v>366</v>
      </c>
      <c r="F91" s="1" t="s">
        <v>158</v>
      </c>
      <c r="G91" s="1" t="s">
        <v>204</v>
      </c>
      <c r="H91" s="1" t="s">
        <v>25</v>
      </c>
      <c r="I91" s="3" t="n">
        <v>50000000</v>
      </c>
      <c r="J91" s="1" t="s">
        <v>186</v>
      </c>
    </row>
    <row r="92" customFormat="false" ht="15" hidden="false" customHeight="false" outlineLevel="0" collapsed="false">
      <c r="A92" s="1" t="n">
        <v>93</v>
      </c>
      <c r="B92" s="2" t="n">
        <v>43586</v>
      </c>
      <c r="C92" s="1" t="s">
        <v>367</v>
      </c>
      <c r="D92" s="1" t="s">
        <v>275</v>
      </c>
      <c r="E92" s="1" t="s">
        <v>253</v>
      </c>
      <c r="F92" s="1" t="s">
        <v>23</v>
      </c>
      <c r="G92" s="1" t="s">
        <v>368</v>
      </c>
      <c r="H92" s="1" t="s">
        <v>64</v>
      </c>
      <c r="I92" s="3" t="n">
        <v>150000000</v>
      </c>
      <c r="J92" s="1" t="s">
        <v>186</v>
      </c>
    </row>
    <row r="93" customFormat="false" ht="15" hidden="false" customHeight="false" outlineLevel="0" collapsed="false">
      <c r="A93" s="1" t="n">
        <v>109</v>
      </c>
      <c r="B93" s="2" t="n">
        <v>43574</v>
      </c>
      <c r="C93" s="1" t="s">
        <v>369</v>
      </c>
      <c r="D93" s="1" t="s">
        <v>346</v>
      </c>
      <c r="E93" s="1" t="s">
        <v>370</v>
      </c>
      <c r="F93" s="1" t="s">
        <v>371</v>
      </c>
      <c r="G93" s="1" t="s">
        <v>344</v>
      </c>
      <c r="H93" s="1" t="s">
        <v>55</v>
      </c>
      <c r="I93" s="3" t="n">
        <v>3000000</v>
      </c>
      <c r="J93" s="1" t="s">
        <v>186</v>
      </c>
    </row>
    <row r="94" customFormat="false" ht="15" hidden="false" customHeight="false" outlineLevel="0" collapsed="false">
      <c r="A94" s="1" t="n">
        <v>110</v>
      </c>
      <c r="B94" s="2" t="n">
        <v>43574</v>
      </c>
      <c r="C94" s="1" t="s">
        <v>372</v>
      </c>
      <c r="D94" s="1" t="s">
        <v>346</v>
      </c>
      <c r="E94" s="1" t="s">
        <v>373</v>
      </c>
      <c r="F94" s="1" t="s">
        <v>23</v>
      </c>
      <c r="G94" s="1" t="s">
        <v>374</v>
      </c>
      <c r="H94" s="1" t="s">
        <v>375</v>
      </c>
      <c r="I94" s="3" t="n">
        <v>14342000</v>
      </c>
      <c r="J94" s="1" t="s">
        <v>186</v>
      </c>
    </row>
    <row r="95" customFormat="false" ht="15" hidden="false" customHeight="false" outlineLevel="0" collapsed="false">
      <c r="A95" s="1" t="n">
        <v>111</v>
      </c>
      <c r="B95" s="2" t="n">
        <v>43572</v>
      </c>
      <c r="C95" s="1" t="s">
        <v>376</v>
      </c>
      <c r="D95" s="1" t="s">
        <v>183</v>
      </c>
      <c r="E95" s="1" t="s">
        <v>377</v>
      </c>
      <c r="F95" s="1" t="s">
        <v>219</v>
      </c>
      <c r="G95" s="1" t="s">
        <v>378</v>
      </c>
      <c r="H95" s="1" t="s">
        <v>205</v>
      </c>
      <c r="I95" s="3" t="n">
        <v>5000000</v>
      </c>
      <c r="J95" s="1" t="s">
        <v>186</v>
      </c>
    </row>
    <row r="96" customFormat="false" ht="15" hidden="false" customHeight="false" outlineLevel="0" collapsed="false">
      <c r="A96" s="1" t="n">
        <v>112</v>
      </c>
      <c r="B96" s="2" t="n">
        <v>43572</v>
      </c>
      <c r="C96" s="1" t="s">
        <v>379</v>
      </c>
      <c r="D96" s="1" t="s">
        <v>45</v>
      </c>
      <c r="E96" s="1" t="s">
        <v>380</v>
      </c>
      <c r="F96" s="1" t="s">
        <v>23</v>
      </c>
      <c r="G96" s="1" t="s">
        <v>381</v>
      </c>
      <c r="H96" s="1" t="s">
        <v>55</v>
      </c>
      <c r="I96" s="3" t="n">
        <v>3000000</v>
      </c>
      <c r="J96" s="1" t="s">
        <v>186</v>
      </c>
    </row>
    <row r="97" customFormat="false" ht="15" hidden="false" customHeight="false" outlineLevel="0" collapsed="false">
      <c r="A97" s="1" t="n">
        <v>99</v>
      </c>
      <c r="B97" s="2" t="n">
        <v>43571</v>
      </c>
      <c r="C97" s="1" t="s">
        <v>382</v>
      </c>
      <c r="D97" s="1" t="s">
        <v>33</v>
      </c>
      <c r="E97" s="1" t="s">
        <v>203</v>
      </c>
      <c r="F97" s="1" t="s">
        <v>23</v>
      </c>
      <c r="G97" s="1" t="s">
        <v>383</v>
      </c>
      <c r="H97" s="1" t="s">
        <v>55</v>
      </c>
      <c r="I97" s="3" t="n">
        <v>45000000</v>
      </c>
      <c r="J97" s="1" t="s">
        <v>186</v>
      </c>
    </row>
    <row r="98" customFormat="false" ht="15" hidden="false" customHeight="false" outlineLevel="0" collapsed="false">
      <c r="A98" s="1" t="n">
        <v>102</v>
      </c>
      <c r="B98" s="2" t="n">
        <v>43568</v>
      </c>
      <c r="C98" s="1" t="s">
        <v>384</v>
      </c>
      <c r="D98" s="1" t="s">
        <v>385</v>
      </c>
      <c r="E98" s="1" t="s">
        <v>386</v>
      </c>
      <c r="F98" s="1" t="s">
        <v>232</v>
      </c>
      <c r="G98" s="1" t="s">
        <v>387</v>
      </c>
      <c r="H98" s="1" t="s">
        <v>90</v>
      </c>
      <c r="I98" s="3" t="n">
        <v>3591375</v>
      </c>
      <c r="J98" s="1" t="s">
        <v>186</v>
      </c>
    </row>
    <row r="99" customFormat="false" ht="15" hidden="false" customHeight="false" outlineLevel="0" collapsed="false">
      <c r="A99" s="1" t="n">
        <v>100</v>
      </c>
      <c r="B99" s="2" t="n">
        <v>43567</v>
      </c>
      <c r="C99" s="1" t="s">
        <v>388</v>
      </c>
      <c r="D99" s="1" t="s">
        <v>346</v>
      </c>
      <c r="E99" s="1" t="s">
        <v>389</v>
      </c>
      <c r="F99" s="1" t="s">
        <v>23</v>
      </c>
      <c r="G99" s="1" t="s">
        <v>390</v>
      </c>
      <c r="H99" s="1" t="s">
        <v>391</v>
      </c>
      <c r="I99" s="3" t="n">
        <v>17000000</v>
      </c>
      <c r="J99" s="1" t="s">
        <v>186</v>
      </c>
    </row>
    <row r="100" customFormat="false" ht="15" hidden="false" customHeight="false" outlineLevel="0" collapsed="false">
      <c r="A100" s="1" t="n">
        <v>103</v>
      </c>
      <c r="B100" s="2" t="n">
        <v>43567</v>
      </c>
      <c r="C100" s="1" t="s">
        <v>392</v>
      </c>
      <c r="D100" s="1" t="s">
        <v>87</v>
      </c>
      <c r="E100" s="1" t="s">
        <v>393</v>
      </c>
      <c r="F100" s="1" t="s">
        <v>219</v>
      </c>
      <c r="G100" s="1" t="s">
        <v>394</v>
      </c>
      <c r="H100" s="1" t="s">
        <v>81</v>
      </c>
      <c r="I100" s="3" t="n">
        <v>200000</v>
      </c>
      <c r="J100" s="1" t="s">
        <v>186</v>
      </c>
    </row>
    <row r="101" customFormat="false" ht="15" hidden="false" customHeight="false" outlineLevel="0" collapsed="false">
      <c r="A101" s="1" t="n">
        <v>104</v>
      </c>
      <c r="B101" s="2" t="n">
        <v>43566</v>
      </c>
      <c r="C101" s="1" t="s">
        <v>395</v>
      </c>
      <c r="D101" s="1" t="s">
        <v>396</v>
      </c>
      <c r="E101" s="1" t="s">
        <v>397</v>
      </c>
      <c r="F101" s="1" t="s">
        <v>23</v>
      </c>
      <c r="G101" s="1" t="s">
        <v>398</v>
      </c>
      <c r="H101" s="1" t="s">
        <v>81</v>
      </c>
      <c r="I101" s="3" t="n">
        <v>3500000</v>
      </c>
      <c r="J101" s="1" t="s">
        <v>186</v>
      </c>
    </row>
    <row r="102" customFormat="false" ht="15" hidden="false" customHeight="false" outlineLevel="0" collapsed="false">
      <c r="A102" s="1" t="n">
        <v>108</v>
      </c>
      <c r="B102" s="2" t="n">
        <v>43566</v>
      </c>
      <c r="C102" s="1" t="s">
        <v>399</v>
      </c>
      <c r="D102" s="1" t="s">
        <v>74</v>
      </c>
      <c r="E102" s="1" t="s">
        <v>400</v>
      </c>
      <c r="F102" s="1" t="s">
        <v>35</v>
      </c>
      <c r="G102" s="1" t="s">
        <v>401</v>
      </c>
      <c r="H102" s="1" t="s">
        <v>90</v>
      </c>
      <c r="I102" s="3" t="n">
        <v>26000000</v>
      </c>
      <c r="J102" s="1" t="s">
        <v>186</v>
      </c>
    </row>
    <row r="103" customFormat="false" ht="15" hidden="false" customHeight="false" outlineLevel="0" collapsed="false">
      <c r="A103" s="1" t="n">
        <v>101</v>
      </c>
      <c r="B103" s="2" t="n">
        <v>43565</v>
      </c>
      <c r="C103" s="1" t="s">
        <v>402</v>
      </c>
      <c r="D103" s="1" t="s">
        <v>346</v>
      </c>
      <c r="E103" s="1" t="s">
        <v>403</v>
      </c>
      <c r="F103" s="1" t="s">
        <v>404</v>
      </c>
      <c r="G103" s="1" t="s">
        <v>405</v>
      </c>
      <c r="H103" s="1" t="s">
        <v>391</v>
      </c>
      <c r="I103" s="3" t="n">
        <v>430665</v>
      </c>
      <c r="J103" s="1" t="s">
        <v>186</v>
      </c>
    </row>
    <row r="104" customFormat="false" ht="15" hidden="false" customHeight="false" outlineLevel="0" collapsed="false">
      <c r="A104" s="1" t="n">
        <v>105</v>
      </c>
      <c r="B104" s="2" t="n">
        <v>43565</v>
      </c>
      <c r="C104" s="1" t="s">
        <v>406</v>
      </c>
      <c r="D104" s="1" t="s">
        <v>407</v>
      </c>
      <c r="E104" s="1" t="s">
        <v>408</v>
      </c>
      <c r="F104" s="1" t="s">
        <v>35</v>
      </c>
      <c r="G104" s="1" t="s">
        <v>409</v>
      </c>
      <c r="H104" s="1" t="s">
        <v>410</v>
      </c>
      <c r="I104" s="3" t="n">
        <v>6320820</v>
      </c>
      <c r="J104" s="1" t="s">
        <v>186</v>
      </c>
    </row>
    <row r="105" customFormat="false" ht="15" hidden="false" customHeight="false" outlineLevel="0" collapsed="false">
      <c r="A105" s="1" t="n">
        <v>106</v>
      </c>
      <c r="B105" s="2" t="n">
        <v>43565</v>
      </c>
      <c r="C105" s="1" t="s">
        <v>411</v>
      </c>
      <c r="D105" s="1" t="s">
        <v>346</v>
      </c>
      <c r="E105" s="1" t="s">
        <v>412</v>
      </c>
      <c r="F105" s="1" t="s">
        <v>35</v>
      </c>
      <c r="G105" s="1" t="s">
        <v>413</v>
      </c>
      <c r="H105" s="1" t="s">
        <v>414</v>
      </c>
      <c r="I105" s="3" t="n">
        <v>2443495</v>
      </c>
      <c r="J105" s="1" t="s">
        <v>186</v>
      </c>
    </row>
    <row r="106" customFormat="false" ht="15" hidden="false" customHeight="false" outlineLevel="0" collapsed="false">
      <c r="A106" s="1" t="n">
        <v>107</v>
      </c>
      <c r="B106" s="2" t="n">
        <v>43565</v>
      </c>
      <c r="C106" s="1" t="s">
        <v>415</v>
      </c>
      <c r="D106" s="1" t="s">
        <v>407</v>
      </c>
      <c r="E106" s="1" t="s">
        <v>408</v>
      </c>
      <c r="F106" s="1" t="s">
        <v>23</v>
      </c>
      <c r="G106" s="1" t="s">
        <v>416</v>
      </c>
      <c r="H106" s="1" t="s">
        <v>417</v>
      </c>
      <c r="I106" s="3" t="n">
        <v>307000</v>
      </c>
      <c r="J106" s="1" t="s">
        <v>186</v>
      </c>
    </row>
    <row r="107" customFormat="false" ht="15" hidden="false" customHeight="false" outlineLevel="0" collapsed="false">
      <c r="A107" s="1" t="n">
        <v>115</v>
      </c>
      <c r="B107" s="2" t="n">
        <v>43509</v>
      </c>
      <c r="C107" s="1" t="s">
        <v>418</v>
      </c>
      <c r="D107" s="1" t="s">
        <v>419</v>
      </c>
      <c r="E107" s="1" t="s">
        <v>420</v>
      </c>
      <c r="F107" s="1" t="s">
        <v>232</v>
      </c>
      <c r="G107" s="1" t="s">
        <v>421</v>
      </c>
      <c r="H107" s="1" t="s">
        <v>55</v>
      </c>
      <c r="I107" s="3" t="n">
        <v>600000</v>
      </c>
      <c r="J107" s="1" t="s">
        <v>186</v>
      </c>
    </row>
    <row r="108" customFormat="false" ht="15" hidden="false" customHeight="false" outlineLevel="0" collapsed="false">
      <c r="A108" s="1" t="n">
        <v>114</v>
      </c>
      <c r="B108" s="2" t="n">
        <v>43504</v>
      </c>
      <c r="C108" s="1" t="s">
        <v>422</v>
      </c>
      <c r="D108" s="1" t="s">
        <v>423</v>
      </c>
      <c r="E108" s="1" t="s">
        <v>424</v>
      </c>
      <c r="F108" s="1" t="s">
        <v>425</v>
      </c>
      <c r="G108" s="1" t="s">
        <v>426</v>
      </c>
      <c r="H108" s="1" t="s">
        <v>64</v>
      </c>
      <c r="I108" s="3" t="n">
        <v>226000000</v>
      </c>
      <c r="J108" s="1" t="s">
        <v>186</v>
      </c>
    </row>
    <row r="109" customFormat="false" ht="15" hidden="true" customHeight="false" outlineLevel="0" collapsed="false">
      <c r="A109" s="1" t="n">
        <v>113</v>
      </c>
      <c r="B109" s="2" t="n">
        <v>43497</v>
      </c>
      <c r="C109" s="1" t="s">
        <v>427</v>
      </c>
      <c r="D109" s="1" t="s">
        <v>428</v>
      </c>
      <c r="E109" s="1" t="s">
        <v>253</v>
      </c>
      <c r="F109" s="1" t="s">
        <v>47</v>
      </c>
      <c r="G109" s="1" t="s">
        <v>429</v>
      </c>
      <c r="H109" s="1" t="s">
        <v>430</v>
      </c>
      <c r="I109" s="3" t="s">
        <v>213</v>
      </c>
      <c r="J109" s="1" t="s">
        <v>186</v>
      </c>
    </row>
    <row r="110" customFormat="false" ht="15" hidden="false" customHeight="false" outlineLevel="0" collapsed="false">
      <c r="A110" s="1" t="n">
        <v>118</v>
      </c>
      <c r="B110" s="2" t="n">
        <v>43469</v>
      </c>
      <c r="C110" s="1" t="s">
        <v>431</v>
      </c>
      <c r="D110" s="1" t="s">
        <v>87</v>
      </c>
      <c r="E110" s="1" t="s">
        <v>432</v>
      </c>
      <c r="F110" s="1" t="s">
        <v>433</v>
      </c>
      <c r="G110" s="1" t="s">
        <v>434</v>
      </c>
      <c r="H110" s="1" t="s">
        <v>64</v>
      </c>
      <c r="I110" s="3" t="n">
        <v>22000000</v>
      </c>
      <c r="J110" s="1" t="s">
        <v>186</v>
      </c>
    </row>
    <row r="111" customFormat="false" ht="15" hidden="false" customHeight="false" outlineLevel="0" collapsed="false">
      <c r="A111" s="1" t="n">
        <v>119</v>
      </c>
      <c r="B111" s="2" t="n">
        <v>43469</v>
      </c>
      <c r="C111" s="1" t="s">
        <v>435</v>
      </c>
      <c r="D111" s="1" t="s">
        <v>33</v>
      </c>
      <c r="E111" s="1" t="s">
        <v>436</v>
      </c>
      <c r="F111" s="1" t="s">
        <v>437</v>
      </c>
      <c r="G111" s="1" t="s">
        <v>438</v>
      </c>
      <c r="H111" s="1" t="s">
        <v>439</v>
      </c>
      <c r="I111" s="3" t="n">
        <v>5000000</v>
      </c>
      <c r="J111" s="1" t="s">
        <v>186</v>
      </c>
    </row>
    <row r="112" customFormat="false" ht="15" hidden="false" customHeight="false" outlineLevel="0" collapsed="false">
      <c r="A112" s="1" t="n">
        <v>117</v>
      </c>
      <c r="B112" s="2" t="n">
        <v>43468</v>
      </c>
      <c r="C112" s="1" t="s">
        <v>31</v>
      </c>
      <c r="D112" s="1" t="s">
        <v>62</v>
      </c>
      <c r="E112" s="1" t="s">
        <v>440</v>
      </c>
      <c r="F112" s="1" t="s">
        <v>441</v>
      </c>
      <c r="G112" s="1" t="s">
        <v>442</v>
      </c>
      <c r="H112" s="1" t="s">
        <v>25</v>
      </c>
      <c r="I112" s="3" t="n">
        <v>110000000</v>
      </c>
      <c r="J112" s="1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F47" activeCellId="0" sqref="F47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0" width="25.26"/>
  </cols>
  <sheetData>
    <row r="1" customFormat="false" ht="12.8" hidden="false" customHeight="false" outlineLevel="0" collapsed="false">
      <c r="A1" s="7" t="s">
        <v>3</v>
      </c>
      <c r="B1" s="8" t="s">
        <v>443</v>
      </c>
    </row>
    <row r="2" customFormat="false" ht="12.8" hidden="false" customHeight="false" outlineLevel="0" collapsed="false">
      <c r="A2" s="9" t="s">
        <v>14</v>
      </c>
      <c r="B2" s="10" t="n">
        <v>18</v>
      </c>
    </row>
    <row r="3" customFormat="false" ht="12.8" hidden="false" customHeight="false" outlineLevel="0" collapsed="false">
      <c r="A3" s="9" t="s">
        <v>69</v>
      </c>
      <c r="B3" s="10" t="n">
        <v>9</v>
      </c>
    </row>
    <row r="4" customFormat="false" ht="12.8" hidden="false" customHeight="false" outlineLevel="0" collapsed="false">
      <c r="A4" s="9" t="s">
        <v>33</v>
      </c>
      <c r="B4" s="10" t="n">
        <v>8</v>
      </c>
    </row>
    <row r="5" customFormat="false" ht="12.8" hidden="false" customHeight="false" outlineLevel="0" collapsed="false">
      <c r="A5" s="9" t="s">
        <v>199</v>
      </c>
      <c r="B5" s="10" t="n">
        <v>5</v>
      </c>
    </row>
    <row r="6" customFormat="false" ht="12.8" hidden="false" customHeight="false" outlineLevel="0" collapsed="false">
      <c r="A6" s="9" t="s">
        <v>96</v>
      </c>
      <c r="B6" s="10" t="n">
        <v>5</v>
      </c>
    </row>
    <row r="7" customFormat="false" ht="12.8" hidden="false" customHeight="false" outlineLevel="0" collapsed="false">
      <c r="A7" s="9" t="s">
        <v>87</v>
      </c>
      <c r="B7" s="10" t="n">
        <v>5</v>
      </c>
    </row>
    <row r="8" customFormat="false" ht="12.8" hidden="false" customHeight="false" outlineLevel="0" collapsed="false">
      <c r="A8" s="9" t="s">
        <v>74</v>
      </c>
      <c r="B8" s="10" t="n">
        <v>4</v>
      </c>
    </row>
    <row r="9" customFormat="false" ht="12.8" hidden="false" customHeight="false" outlineLevel="0" collapsed="false">
      <c r="A9" s="9" t="s">
        <v>167</v>
      </c>
      <c r="B9" s="10" t="n">
        <v>3</v>
      </c>
    </row>
    <row r="10" customFormat="false" ht="12.8" hidden="false" customHeight="false" outlineLevel="0" collapsed="false">
      <c r="A10" s="9" t="s">
        <v>45</v>
      </c>
      <c r="B10" s="10" t="n">
        <v>3</v>
      </c>
    </row>
    <row r="11" customFormat="false" ht="12.8" hidden="false" customHeight="false" outlineLevel="0" collapsed="false">
      <c r="A11" s="9" t="s">
        <v>275</v>
      </c>
      <c r="B11" s="10" t="n">
        <v>3</v>
      </c>
    </row>
    <row r="12" customFormat="false" ht="12.8" hidden="false" customHeight="false" outlineLevel="0" collapsed="false">
      <c r="A12" s="9" t="s">
        <v>183</v>
      </c>
      <c r="B12" s="10" t="n">
        <v>3</v>
      </c>
    </row>
    <row r="13" customFormat="false" ht="12.8" hidden="false" customHeight="false" outlineLevel="0" collapsed="false">
      <c r="A13" s="9" t="s">
        <v>62</v>
      </c>
      <c r="B13" s="10" t="n">
        <v>2</v>
      </c>
    </row>
    <row r="14" customFormat="false" ht="12.8" hidden="false" customHeight="false" outlineLevel="0" collapsed="false">
      <c r="A14" s="9" t="s">
        <v>131</v>
      </c>
      <c r="B14" s="10" t="n">
        <v>2</v>
      </c>
    </row>
    <row r="15" customFormat="false" ht="12.8" hidden="false" customHeight="false" outlineLevel="0" collapsed="false">
      <c r="A15" s="9" t="s">
        <v>295</v>
      </c>
      <c r="B15" s="10" t="n">
        <v>2</v>
      </c>
    </row>
    <row r="16" customFormat="false" ht="12.8" hidden="false" customHeight="false" outlineLevel="0" collapsed="false">
      <c r="A16" s="9" t="s">
        <v>83</v>
      </c>
      <c r="B16" s="10" t="n">
        <v>2</v>
      </c>
    </row>
    <row r="17" customFormat="false" ht="12.8" hidden="false" customHeight="false" outlineLevel="0" collapsed="false">
      <c r="A17" s="9" t="s">
        <v>105</v>
      </c>
      <c r="B17" s="10" t="n">
        <v>2</v>
      </c>
    </row>
    <row r="18" customFormat="false" ht="12.8" hidden="false" customHeight="false" outlineLevel="0" collapsed="false">
      <c r="A18" s="9" t="s">
        <v>210</v>
      </c>
      <c r="B18" s="10" t="n">
        <v>2</v>
      </c>
    </row>
    <row r="19" customFormat="false" ht="12.8" hidden="false" customHeight="false" outlineLevel="0" collapsed="false">
      <c r="A19" s="9" t="s">
        <v>252</v>
      </c>
      <c r="B19" s="10" t="n">
        <v>2</v>
      </c>
    </row>
    <row r="20" customFormat="false" ht="12.8" hidden="false" customHeight="false" outlineLevel="0" collapsed="false">
      <c r="A20" s="11" t="s">
        <v>328</v>
      </c>
      <c r="B20" s="12" t="n">
        <v>2</v>
      </c>
    </row>
    <row r="21" customFormat="false" ht="12.8" hidden="false" customHeight="false" outlineLevel="0" collapsed="false">
      <c r="A21" s="13" t="s">
        <v>179</v>
      </c>
      <c r="B21" s="14" t="n">
        <v>1</v>
      </c>
    </row>
    <row r="22" customFormat="false" ht="12.8" hidden="false" customHeight="false" outlineLevel="0" collapsed="false">
      <c r="A22" s="9" t="s">
        <v>152</v>
      </c>
      <c r="B22" s="10" t="n">
        <v>1</v>
      </c>
    </row>
    <row r="23" customFormat="false" ht="12.8" hidden="false" customHeight="false" outlineLevel="0" collapsed="false">
      <c r="A23" s="9" t="s">
        <v>65</v>
      </c>
      <c r="B23" s="10" t="n">
        <v>1</v>
      </c>
    </row>
    <row r="24" customFormat="false" ht="12.8" hidden="false" customHeight="false" outlineLevel="0" collapsed="false">
      <c r="A24" s="9" t="s">
        <v>304</v>
      </c>
      <c r="B24" s="10" t="n">
        <v>1</v>
      </c>
    </row>
    <row r="25" customFormat="false" ht="12.8" hidden="false" customHeight="false" outlineLevel="0" collapsed="false">
      <c r="A25" s="9" t="s">
        <v>352</v>
      </c>
      <c r="B25" s="10" t="n">
        <v>1</v>
      </c>
    </row>
    <row r="26" customFormat="false" ht="12.8" hidden="false" customHeight="false" outlineLevel="0" collapsed="false">
      <c r="A26" s="9" t="s">
        <v>428</v>
      </c>
      <c r="B26" s="10" t="n">
        <v>1</v>
      </c>
    </row>
    <row r="27" customFormat="false" ht="12.8" hidden="false" customHeight="false" outlineLevel="0" collapsed="false">
      <c r="A27" s="9" t="s">
        <v>291</v>
      </c>
      <c r="B27" s="10" t="n">
        <v>1</v>
      </c>
    </row>
    <row r="28" customFormat="false" ht="12.8" hidden="false" customHeight="false" outlineLevel="0" collapsed="false">
      <c r="A28" s="9" t="s">
        <v>188</v>
      </c>
      <c r="B28" s="10" t="n">
        <v>1</v>
      </c>
    </row>
    <row r="29" customFormat="false" ht="12.8" hidden="false" customHeight="false" outlineLevel="0" collapsed="false">
      <c r="A29" s="9" t="s">
        <v>141</v>
      </c>
      <c r="B29" s="10" t="n">
        <v>1</v>
      </c>
    </row>
    <row r="30" customFormat="false" ht="12.8" hidden="false" customHeight="false" outlineLevel="0" collapsed="false">
      <c r="A30" s="9" t="s">
        <v>102</v>
      </c>
      <c r="B30" s="10" t="n">
        <v>1</v>
      </c>
    </row>
    <row r="31" customFormat="false" ht="12.8" hidden="false" customHeight="false" outlineLevel="0" collapsed="false">
      <c r="A31" s="9" t="s">
        <v>21</v>
      </c>
      <c r="B31" s="10" t="n">
        <v>1</v>
      </c>
    </row>
    <row r="32" customFormat="false" ht="12.8" hidden="false" customHeight="false" outlineLevel="0" collapsed="false">
      <c r="A32" s="9" t="s">
        <v>287</v>
      </c>
      <c r="B32" s="10" t="n">
        <v>1</v>
      </c>
    </row>
    <row r="33" customFormat="false" ht="12.8" hidden="false" customHeight="false" outlineLevel="0" collapsed="false">
      <c r="A33" s="9" t="s">
        <v>171</v>
      </c>
      <c r="B33" s="10" t="n">
        <v>1</v>
      </c>
    </row>
    <row r="34" customFormat="false" ht="12.8" hidden="false" customHeight="false" outlineLevel="0" collapsed="false">
      <c r="A34" s="9" t="s">
        <v>137</v>
      </c>
      <c r="B34" s="10" t="n">
        <v>1</v>
      </c>
    </row>
    <row r="35" customFormat="false" ht="12.8" hidden="false" customHeight="false" outlineLevel="0" collapsed="false">
      <c r="A35" s="9" t="s">
        <v>222</v>
      </c>
      <c r="B35" s="10" t="n">
        <v>1</v>
      </c>
    </row>
    <row r="36" customFormat="false" ht="12.8" hidden="false" customHeight="false" outlineLevel="0" collapsed="false">
      <c r="A36" s="9" t="s">
        <v>342</v>
      </c>
      <c r="B36" s="10" t="n">
        <v>1</v>
      </c>
    </row>
    <row r="37" customFormat="false" ht="12.8" hidden="false" customHeight="false" outlineLevel="0" collapsed="false">
      <c r="A37" s="9" t="s">
        <v>423</v>
      </c>
      <c r="B37" s="10" t="n">
        <v>1</v>
      </c>
    </row>
    <row r="38" customFormat="false" ht="12.8" hidden="false" customHeight="false" outlineLevel="0" collapsed="false">
      <c r="A38" s="9" t="s">
        <v>309</v>
      </c>
      <c r="B38" s="10" t="n">
        <v>1</v>
      </c>
    </row>
    <row r="39" customFormat="false" ht="12.8" hidden="false" customHeight="false" outlineLevel="0" collapsed="false">
      <c r="A39" s="9" t="s">
        <v>57</v>
      </c>
      <c r="B39" s="10" t="n">
        <v>1</v>
      </c>
    </row>
    <row r="40" customFormat="false" ht="12.8" hidden="false" customHeight="false" outlineLevel="0" collapsed="false">
      <c r="A40" s="9" t="s">
        <v>259</v>
      </c>
      <c r="B40" s="10" t="n">
        <v>1</v>
      </c>
    </row>
    <row r="41" customFormat="false" ht="12.8" hidden="false" customHeight="false" outlineLevel="0" collapsed="false">
      <c r="A41" s="9" t="s">
        <v>92</v>
      </c>
      <c r="B41" s="10" t="n">
        <v>1</v>
      </c>
    </row>
    <row r="42" customFormat="false" ht="12.8" hidden="false" customHeight="false" outlineLevel="0" collapsed="false">
      <c r="A42" s="9" t="s">
        <v>162</v>
      </c>
      <c r="B42" s="10" t="n">
        <v>1</v>
      </c>
    </row>
    <row r="43" customFormat="false" ht="12.8" hidden="false" customHeight="false" outlineLevel="0" collapsed="false">
      <c r="A43" s="9" t="s">
        <v>263</v>
      </c>
      <c r="B43" s="10" t="n">
        <v>1</v>
      </c>
    </row>
    <row r="44" customFormat="false" ht="12.8" hidden="false" customHeight="false" outlineLevel="0" collapsed="false">
      <c r="A44" s="9" t="s">
        <v>419</v>
      </c>
      <c r="B44" s="10" t="n">
        <v>1</v>
      </c>
    </row>
    <row r="45" customFormat="false" ht="12.8" hidden="false" customHeight="false" outlineLevel="0" collapsed="false">
      <c r="A45" s="9" t="s">
        <v>235</v>
      </c>
      <c r="B45" s="10" t="n">
        <v>1</v>
      </c>
    </row>
    <row r="46" customFormat="false" ht="12.8" hidden="false" customHeight="false" outlineLevel="0" collapsed="false">
      <c r="A46" s="9" t="s">
        <v>385</v>
      </c>
      <c r="B46" s="10" t="n">
        <v>1</v>
      </c>
    </row>
    <row r="47" customFormat="false" ht="12.8" hidden="false" customHeight="false" outlineLevel="0" collapsed="false">
      <c r="A47" s="9" t="s">
        <v>114</v>
      </c>
      <c r="B47" s="10" t="n">
        <v>1</v>
      </c>
    </row>
    <row r="48" customFormat="false" ht="12.8" hidden="false" customHeight="false" outlineLevel="0" collapsed="false">
      <c r="A48" s="9" t="s">
        <v>39</v>
      </c>
      <c r="B48" s="10" t="n">
        <v>1</v>
      </c>
    </row>
    <row r="49" customFormat="false" ht="12.8" hidden="false" customHeight="false" outlineLevel="0" collapsed="false">
      <c r="A49" s="9" t="s">
        <v>123</v>
      </c>
      <c r="B49" s="1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13" activeCellId="0" sqref="N13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2" min="2" style="0" width="18.26"/>
  </cols>
  <sheetData>
    <row r="1" customFormat="false" ht="12.8" hidden="false" customHeight="false" outlineLevel="0" collapsed="false">
      <c r="A1" s="7" t="s">
        <v>5</v>
      </c>
      <c r="B1" s="8" t="s">
        <v>444</v>
      </c>
    </row>
    <row r="2" customFormat="false" ht="12.8" hidden="false" customHeight="false" outlineLevel="0" collapsed="false">
      <c r="A2" s="9" t="s">
        <v>23</v>
      </c>
      <c r="B2" s="10" t="n">
        <v>31</v>
      </c>
    </row>
    <row r="3" customFormat="false" ht="12.8" hidden="false" customHeight="false" outlineLevel="0" collapsed="false">
      <c r="A3" s="9" t="s">
        <v>47</v>
      </c>
      <c r="B3" s="10" t="n">
        <v>15</v>
      </c>
    </row>
    <row r="4" customFormat="false" ht="12.8" hidden="false" customHeight="false" outlineLevel="0" collapsed="false">
      <c r="A4" s="9" t="s">
        <v>35</v>
      </c>
      <c r="B4" s="10" t="n">
        <v>12</v>
      </c>
    </row>
    <row r="5" customFormat="false" ht="12.8" hidden="false" customHeight="false" outlineLevel="0" collapsed="false">
      <c r="A5" s="9" t="s">
        <v>232</v>
      </c>
      <c r="B5" s="10" t="n">
        <v>9</v>
      </c>
    </row>
    <row r="6" customFormat="false" ht="12.8" hidden="false" customHeight="false" outlineLevel="0" collapsed="false">
      <c r="A6" s="9" t="s">
        <v>59</v>
      </c>
      <c r="B6" s="10" t="n">
        <v>4</v>
      </c>
    </row>
    <row r="7" customFormat="false" ht="12.8" hidden="false" customHeight="false" outlineLevel="0" collapsed="false">
      <c r="A7" s="9" t="s">
        <v>219</v>
      </c>
      <c r="B7" s="10" t="n">
        <v>3</v>
      </c>
    </row>
    <row r="8" customFormat="false" ht="12.8" hidden="false" customHeight="false" outlineLevel="0" collapsed="false">
      <c r="A8" s="9" t="s">
        <v>158</v>
      </c>
      <c r="B8" s="10" t="n">
        <v>3</v>
      </c>
    </row>
    <row r="9" customFormat="false" ht="12.8" hidden="false" customHeight="false" outlineLevel="0" collapsed="false">
      <c r="A9" s="9" t="s">
        <v>53</v>
      </c>
      <c r="B9" s="10" t="n">
        <v>3</v>
      </c>
    </row>
    <row r="10" customFormat="false" ht="12.8" hidden="false" customHeight="false" outlineLevel="0" collapsed="false">
      <c r="A10" s="9" t="s">
        <v>247</v>
      </c>
      <c r="B10" s="10" t="n">
        <v>3</v>
      </c>
    </row>
    <row r="11" customFormat="false" ht="12.8" hidden="false" customHeight="false" outlineLevel="0" collapsed="false">
      <c r="A11" s="9" t="s">
        <v>79</v>
      </c>
      <c r="B11" s="10" t="n">
        <v>2</v>
      </c>
    </row>
    <row r="12" customFormat="false" ht="12.8" hidden="false" customHeight="false" outlineLevel="0" collapsed="false">
      <c r="A12" s="9" t="s">
        <v>107</v>
      </c>
      <c r="B12" s="10" t="n">
        <v>2</v>
      </c>
    </row>
    <row r="13" customFormat="false" ht="12.8" hidden="false" customHeight="false" outlineLevel="0" collapsed="false">
      <c r="A13" s="9" t="s">
        <v>116</v>
      </c>
      <c r="B13" s="10" t="n">
        <v>2</v>
      </c>
    </row>
    <row r="14" customFormat="false" ht="12.8" hidden="false" customHeight="false" outlineLevel="0" collapsed="false">
      <c r="A14" s="13" t="s">
        <v>128</v>
      </c>
      <c r="B14" s="14" t="n">
        <v>1</v>
      </c>
    </row>
    <row r="15" customFormat="false" ht="12.8" hidden="false" customHeight="false" outlineLevel="0" collapsed="false">
      <c r="A15" s="9" t="s">
        <v>256</v>
      </c>
      <c r="B15" s="10" t="n">
        <v>1</v>
      </c>
    </row>
    <row r="16" customFormat="false" ht="12.8" hidden="false" customHeight="false" outlineLevel="0" collapsed="false">
      <c r="A16" s="9" t="s">
        <v>371</v>
      </c>
      <c r="B16" s="10" t="n">
        <v>1</v>
      </c>
    </row>
    <row r="17" customFormat="false" ht="12.8" hidden="false" customHeight="false" outlineLevel="0" collapsed="false">
      <c r="A17" s="9" t="s">
        <v>404</v>
      </c>
      <c r="B17" s="10" t="n">
        <v>1</v>
      </c>
    </row>
    <row r="18" customFormat="false" ht="12.8" hidden="false" customHeight="false" outlineLevel="0" collapsed="false">
      <c r="A18" s="9" t="s">
        <v>164</v>
      </c>
      <c r="B18" s="10" t="n">
        <v>1</v>
      </c>
    </row>
    <row r="19" customFormat="false" ht="12.8" hidden="false" customHeight="false" outlineLevel="0" collapsed="false">
      <c r="A19" s="9" t="s">
        <v>268</v>
      </c>
      <c r="B19" s="10" t="n">
        <v>1</v>
      </c>
    </row>
    <row r="20" customFormat="false" ht="12.8" hidden="false" customHeight="false" outlineLevel="0" collapsed="false">
      <c r="A20" s="9" t="s">
        <v>437</v>
      </c>
      <c r="B20" s="10" t="n">
        <v>1</v>
      </c>
    </row>
    <row r="21" customFormat="false" ht="12.8" hidden="false" customHeight="false" outlineLevel="0" collapsed="false">
      <c r="A21" s="9" t="s">
        <v>16</v>
      </c>
      <c r="B21" s="10" t="n">
        <v>1</v>
      </c>
    </row>
    <row r="22" customFormat="false" ht="12.8" hidden="false" customHeight="false" outlineLevel="0" collapsed="false">
      <c r="A22" s="9" t="s">
        <v>299</v>
      </c>
      <c r="B22" s="10" t="n">
        <v>1</v>
      </c>
    </row>
    <row r="23" customFormat="false" ht="12.8" hidden="false" customHeight="false" outlineLevel="0" collapsed="false">
      <c r="A23" s="9" t="s">
        <v>425</v>
      </c>
      <c r="B23" s="10" t="n">
        <v>1</v>
      </c>
    </row>
    <row r="24" customFormat="false" ht="12.8" hidden="false" customHeight="false" outlineLevel="0" collapsed="false">
      <c r="A24" s="9" t="s">
        <v>433</v>
      </c>
      <c r="B24" s="10" t="n">
        <v>1</v>
      </c>
    </row>
    <row r="25" customFormat="false" ht="12.8" hidden="false" customHeight="false" outlineLevel="0" collapsed="false">
      <c r="A25" s="9" t="s">
        <v>441</v>
      </c>
      <c r="B25" s="10" t="n">
        <v>1</v>
      </c>
    </row>
    <row r="26" customFormat="false" ht="12.8" hidden="false" customHeight="false" outlineLevel="0" collapsed="false">
      <c r="A26" s="9" t="s">
        <v>302</v>
      </c>
      <c r="B26" s="10" t="n">
        <v>1</v>
      </c>
    </row>
    <row r="27" customFormat="false" ht="12.8" hidden="false" customHeight="false" outlineLevel="0" collapsed="false">
      <c r="A27" s="9" t="s">
        <v>176</v>
      </c>
      <c r="B27" s="10" t="n">
        <v>1</v>
      </c>
    </row>
    <row r="28" customFormat="false" ht="12.8" hidden="false" customHeight="false" outlineLevel="0" collapsed="false">
      <c r="A28" s="9" t="s">
        <v>334</v>
      </c>
      <c r="B28" s="10" t="n">
        <v>1</v>
      </c>
    </row>
    <row r="29" customFormat="false" ht="12.8" hidden="false" customHeight="false" outlineLevel="0" collapsed="false">
      <c r="A29" s="9" t="s">
        <v>306</v>
      </c>
      <c r="B29" s="10" t="n">
        <v>1</v>
      </c>
    </row>
    <row r="30" customFormat="false" ht="12.8" hidden="false" customHeight="false" outlineLevel="0" collapsed="false">
      <c r="A30" s="9" t="s">
        <v>317</v>
      </c>
      <c r="B30" s="10" t="n">
        <v>1</v>
      </c>
    </row>
    <row r="31" customFormat="false" ht="12.8" hidden="false" customHeight="false" outlineLevel="0" collapsed="false">
      <c r="A31" s="9" t="s">
        <v>224</v>
      </c>
      <c r="B31" s="10" t="n">
        <v>1</v>
      </c>
    </row>
    <row r="32" customFormat="false" ht="12.8" hidden="false" customHeight="false" outlineLevel="0" collapsed="false">
      <c r="A32" s="9" t="s">
        <v>76</v>
      </c>
      <c r="B32" s="10" t="n">
        <v>1</v>
      </c>
    </row>
    <row r="33" customFormat="false" ht="12.8" hidden="false" customHeight="false" outlineLevel="0" collapsed="false">
      <c r="A33" s="9" t="s">
        <v>196</v>
      </c>
      <c r="B33" s="10" t="n">
        <v>1</v>
      </c>
    </row>
    <row r="34" customFormat="false" ht="12.8" hidden="false" customHeight="false" outlineLevel="0" collapsed="false">
      <c r="A34" s="9" t="s">
        <v>293</v>
      </c>
      <c r="B34" s="10" t="n">
        <v>1</v>
      </c>
    </row>
    <row r="35" customFormat="false" ht="12.8" hidden="false" customHeight="false" outlineLevel="0" collapsed="false">
      <c r="A35" s="11" t="s">
        <v>85</v>
      </c>
      <c r="B35" s="1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0.16015625" defaultRowHeight="12.8" customHeight="true" zeroHeight="false" outlineLevelRow="0" outlineLevelCol="0"/>
  <cols>
    <col collapsed="false" customWidth="true" hidden="false" outlineLevel="0" max="1" min="1" style="1" width="21.97"/>
    <col collapsed="false" customWidth="true" hidden="false" outlineLevel="0" max="2" min="2" style="1" width="23.44"/>
    <col collapsed="false" customWidth="true" hidden="false" outlineLevel="0" max="3" min="3" style="1" width="44.81"/>
    <col collapsed="false" customWidth="true" hidden="false" outlineLevel="0" max="4" min="4" style="1" width="18.61"/>
  </cols>
  <sheetData>
    <row r="1" customFormat="false" ht="13.8" hidden="false" customHeight="false" outlineLevel="0" collapsed="false">
      <c r="A1" s="15" t="s">
        <v>8</v>
      </c>
      <c r="B1" s="16" t="s">
        <v>445</v>
      </c>
      <c r="C1" s="0"/>
      <c r="D1" s="0"/>
    </row>
    <row r="2" customFormat="false" ht="12.8" hidden="false" customHeight="true" outlineLevel="0" collapsed="false">
      <c r="A2" s="0"/>
      <c r="B2" s="0"/>
      <c r="C2" s="0"/>
      <c r="D2" s="0"/>
    </row>
    <row r="3" customFormat="false" ht="13.8" hidden="false" customHeight="false" outlineLevel="0" collapsed="false">
      <c r="A3" s="7" t="s">
        <v>5</v>
      </c>
      <c r="B3" s="17" t="s">
        <v>7</v>
      </c>
      <c r="C3" s="17" t="s">
        <v>2</v>
      </c>
      <c r="D3" s="8" t="s">
        <v>446</v>
      </c>
    </row>
    <row r="4" customFormat="false" ht="13.8" hidden="false" customHeight="false" outlineLevel="0" collapsed="false">
      <c r="A4" s="18" t="s">
        <v>164</v>
      </c>
      <c r="B4" s="19" t="s">
        <v>55</v>
      </c>
      <c r="C4" s="19" t="s">
        <v>161</v>
      </c>
      <c r="D4" s="20" t="n">
        <v>18000000</v>
      </c>
    </row>
    <row r="5" customFormat="false" ht="13.8" hidden="false" customHeight="false" outlineLevel="0" collapsed="false">
      <c r="A5" s="13" t="s">
        <v>79</v>
      </c>
      <c r="B5" s="19" t="s">
        <v>363</v>
      </c>
      <c r="C5" s="19" t="s">
        <v>360</v>
      </c>
      <c r="D5" s="21"/>
    </row>
    <row r="6" customFormat="false" ht="13.8" hidden="false" customHeight="false" outlineLevel="0" collapsed="false">
      <c r="A6" s="22"/>
      <c r="B6" s="19" t="s">
        <v>81</v>
      </c>
      <c r="C6" s="19" t="s">
        <v>61</v>
      </c>
      <c r="D6" s="20" t="n">
        <v>220000000</v>
      </c>
    </row>
    <row r="7" customFormat="false" ht="13.8" hidden="false" customHeight="false" outlineLevel="0" collapsed="false">
      <c r="A7" s="18" t="s">
        <v>317</v>
      </c>
      <c r="B7" s="19" t="s">
        <v>90</v>
      </c>
      <c r="C7" s="19" t="s">
        <v>315</v>
      </c>
      <c r="D7" s="20" t="n">
        <v>52000000</v>
      </c>
    </row>
    <row r="8" customFormat="false" ht="13.8" hidden="false" customHeight="false" outlineLevel="0" collapsed="false">
      <c r="A8" s="23" t="s">
        <v>447</v>
      </c>
      <c r="B8" s="24"/>
      <c r="C8" s="25"/>
      <c r="D8" s="26" t="n">
        <v>290000000</v>
      </c>
    </row>
    <row r="9" customFormat="false" ht="13.8" hidden="false" customHeight="false" outlineLevel="0" collapsed="false">
      <c r="A9" s="0"/>
      <c r="B9" s="0"/>
      <c r="C9" s="0"/>
      <c r="D9" s="0"/>
    </row>
    <row r="10" customFormat="false" ht="13.8" hidden="false" customHeight="false" outlineLevel="0" collapsed="false">
      <c r="A10" s="0"/>
      <c r="B10" s="0"/>
      <c r="C10" s="0"/>
      <c r="D10" s="0"/>
    </row>
    <row r="11" customFormat="false" ht="13.8" hidden="false" customHeight="false" outlineLevel="0" collapsed="false">
      <c r="A11" s="0"/>
      <c r="B11" s="0"/>
      <c r="C11" s="0"/>
      <c r="D11" s="0"/>
    </row>
    <row r="12" customFormat="false" ht="13.8" hidden="false" customHeight="false" outlineLevel="0" collapsed="false">
      <c r="A12" s="0"/>
      <c r="B12" s="0"/>
      <c r="C12" s="0"/>
      <c r="D12" s="0"/>
    </row>
    <row r="13" customFormat="false" ht="13.8" hidden="false" customHeight="false" outlineLevel="0" collapsed="false">
      <c r="A13" s="0"/>
      <c r="B13" s="0"/>
      <c r="C13" s="0"/>
      <c r="D13" s="0"/>
    </row>
    <row r="14" customFormat="false" ht="13.8" hidden="false" customHeight="false" outlineLevel="0" collapsed="false">
      <c r="A14" s="0"/>
      <c r="B14" s="0"/>
      <c r="C14" s="0"/>
      <c r="D14" s="0"/>
    </row>
    <row r="15" customFormat="false" ht="13.8" hidden="false" customHeight="false" outlineLevel="0" collapsed="false">
      <c r="A15" s="0"/>
      <c r="B15" s="0"/>
      <c r="C15" s="0"/>
      <c r="D15" s="0"/>
    </row>
    <row r="16" customFormat="false" ht="13.8" hidden="false" customHeight="false" outlineLevel="0" collapsed="false">
      <c r="A16" s="0"/>
      <c r="B16" s="0"/>
      <c r="C16" s="0"/>
      <c r="D16" s="0"/>
    </row>
    <row r="17" customFormat="false" ht="13.8" hidden="false" customHeight="false" outlineLevel="0" collapsed="false">
      <c r="A17" s="0"/>
      <c r="B17" s="0"/>
      <c r="C17" s="0"/>
      <c r="D17" s="0"/>
    </row>
    <row r="18" customFormat="false" ht="13.8" hidden="false" customHeight="false" outlineLevel="0" collapsed="false">
      <c r="A18" s="0"/>
      <c r="B18" s="0"/>
      <c r="C18" s="0"/>
      <c r="D18" s="0"/>
    </row>
    <row r="19" customFormat="false" ht="13.8" hidden="false" customHeight="false" outlineLevel="0" collapsed="false">
      <c r="A19" s="0"/>
      <c r="B19" s="0"/>
      <c r="C19" s="0"/>
      <c r="D19" s="0"/>
    </row>
    <row r="20" customFormat="false" ht="13.8" hidden="false" customHeight="false" outlineLevel="0" collapsed="false">
      <c r="A20" s="0"/>
      <c r="B20" s="0"/>
      <c r="C20" s="0"/>
      <c r="D20" s="0"/>
    </row>
    <row r="21" customFormat="false" ht="13.8" hidden="false" customHeight="false" outlineLevel="0" collapsed="false">
      <c r="A21" s="0"/>
      <c r="B21" s="0"/>
      <c r="C21" s="0"/>
      <c r="D21" s="0"/>
    </row>
    <row r="22" customFormat="false" ht="13.8" hidden="false" customHeight="false" outlineLevel="0" collapsed="false">
      <c r="A22" s="0"/>
      <c r="B22" s="0"/>
      <c r="C22" s="0"/>
      <c r="D22" s="0"/>
    </row>
    <row r="23" customFormat="false" ht="13.8" hidden="false" customHeight="false" outlineLevel="0" collapsed="false">
      <c r="A23" s="0"/>
      <c r="B23" s="0"/>
      <c r="C23" s="0"/>
      <c r="D23" s="0"/>
    </row>
    <row r="24" customFormat="false" ht="13.8" hidden="false" customHeight="false" outlineLevel="0" collapsed="false">
      <c r="A24" s="0"/>
      <c r="B24" s="0"/>
      <c r="C24" s="0"/>
      <c r="D24" s="0"/>
    </row>
    <row r="25" customFormat="false" ht="13.8" hidden="false" customHeight="false" outlineLevel="0" collapsed="false">
      <c r="A25" s="0"/>
      <c r="B25" s="0"/>
      <c r="C25" s="0"/>
      <c r="D25" s="0"/>
    </row>
    <row r="26" customFormat="false" ht="13.8" hidden="false" customHeight="false" outlineLevel="0" collapsed="false">
      <c r="A26" s="0"/>
      <c r="B26" s="0"/>
      <c r="C26" s="0"/>
      <c r="D26" s="0"/>
    </row>
    <row r="27" customFormat="false" ht="13.8" hidden="false" customHeight="false" outlineLevel="0" collapsed="false">
      <c r="A27" s="0"/>
      <c r="B27" s="0"/>
      <c r="C27" s="0"/>
      <c r="D27" s="0"/>
    </row>
    <row r="28" customFormat="false" ht="13.8" hidden="false" customHeight="false" outlineLevel="0" collapsed="false">
      <c r="A28" s="0"/>
      <c r="B28" s="0"/>
      <c r="C28" s="0"/>
      <c r="D28" s="0"/>
    </row>
    <row r="29" customFormat="false" ht="13.8" hidden="false" customHeight="false" outlineLevel="0" collapsed="false">
      <c r="A29" s="0"/>
      <c r="B29" s="0"/>
      <c r="C29" s="0"/>
      <c r="D29" s="0"/>
    </row>
    <row r="30" customFormat="false" ht="13.8" hidden="false" customHeight="false" outlineLevel="0" collapsed="false">
      <c r="A30" s="0"/>
      <c r="B30" s="0"/>
      <c r="C30" s="0"/>
      <c r="D30" s="0"/>
    </row>
    <row r="31" customFormat="false" ht="13.8" hidden="false" customHeight="false" outlineLevel="0" collapsed="false">
      <c r="A31" s="0"/>
      <c r="B31" s="0"/>
      <c r="C31" s="0"/>
      <c r="D31" s="0"/>
    </row>
    <row r="32" customFormat="false" ht="13.8" hidden="false" customHeight="false" outlineLevel="0" collapsed="false">
      <c r="A32" s="0"/>
      <c r="B32" s="0"/>
      <c r="C32" s="0"/>
      <c r="D32" s="0"/>
    </row>
    <row r="33" customFormat="false" ht="13.8" hidden="false" customHeight="false" outlineLevel="0" collapsed="false">
      <c r="A33" s="0"/>
      <c r="B33" s="0"/>
      <c r="C33" s="0"/>
      <c r="D33" s="0"/>
    </row>
    <row r="34" customFormat="false" ht="13.8" hidden="false" customHeight="false" outlineLevel="0" collapsed="false">
      <c r="A34" s="0"/>
      <c r="B34" s="0"/>
      <c r="C34" s="0"/>
      <c r="D34" s="0"/>
    </row>
    <row r="35" customFormat="false" ht="13.8" hidden="false" customHeight="false" outlineLevel="0" collapsed="false">
      <c r="A35" s="0"/>
      <c r="B35" s="0"/>
      <c r="C35" s="0"/>
      <c r="D35" s="0"/>
    </row>
    <row r="36" customFormat="false" ht="13.8" hidden="false" customHeight="false" outlineLevel="0" collapsed="false">
      <c r="A36" s="0"/>
      <c r="B36" s="0"/>
      <c r="C36" s="0"/>
      <c r="D36" s="0"/>
    </row>
    <row r="37" customFormat="false" ht="13.8" hidden="false" customHeight="false" outlineLevel="0" collapsed="false">
      <c r="A37" s="0"/>
      <c r="B37" s="0"/>
      <c r="C37" s="0"/>
      <c r="D37" s="0"/>
    </row>
    <row r="38" customFormat="false" ht="13.8" hidden="false" customHeight="false" outlineLevel="0" collapsed="false">
      <c r="A38" s="0"/>
      <c r="B38" s="0"/>
      <c r="C38" s="0"/>
      <c r="D38" s="0"/>
    </row>
    <row r="39" customFormat="false" ht="13.8" hidden="false" customHeight="false" outlineLevel="0" collapsed="false">
      <c r="A39" s="0"/>
      <c r="B39" s="0"/>
      <c r="C39" s="0"/>
      <c r="D39" s="0"/>
    </row>
    <row r="40" customFormat="false" ht="13.8" hidden="false" customHeight="false" outlineLevel="0" collapsed="false">
      <c r="A40" s="0"/>
      <c r="B40" s="0"/>
      <c r="C40" s="0"/>
      <c r="D40" s="0"/>
    </row>
    <row r="41" customFormat="false" ht="13.8" hidden="false" customHeight="false" outlineLevel="0" collapsed="false">
      <c r="A41" s="0"/>
      <c r="B41" s="0"/>
      <c r="C41" s="0"/>
      <c r="D41" s="0"/>
    </row>
    <row r="42" customFormat="false" ht="13.8" hidden="false" customHeight="false" outlineLevel="0" collapsed="false">
      <c r="A42" s="0"/>
      <c r="B42" s="0"/>
      <c r="C42" s="0"/>
      <c r="D42" s="0"/>
    </row>
    <row r="43" customFormat="false" ht="13.8" hidden="false" customHeight="false" outlineLevel="0" collapsed="false">
      <c r="A43" s="0"/>
      <c r="B43" s="0"/>
      <c r="C43" s="0"/>
      <c r="D43" s="0"/>
    </row>
    <row r="44" customFormat="false" ht="13.8" hidden="false" customHeight="false" outlineLevel="0" collapsed="false">
      <c r="A44" s="0"/>
      <c r="B44" s="0"/>
      <c r="C44" s="0"/>
      <c r="D44" s="0"/>
    </row>
    <row r="45" customFormat="false" ht="13.8" hidden="false" customHeight="false" outlineLevel="0" collapsed="false">
      <c r="A45" s="0"/>
      <c r="B45" s="0"/>
      <c r="C45" s="0"/>
      <c r="D45" s="0"/>
    </row>
    <row r="46" customFormat="false" ht="13.8" hidden="false" customHeight="false" outlineLevel="0" collapsed="false">
      <c r="A46" s="0"/>
      <c r="B46" s="0"/>
      <c r="C46" s="0"/>
      <c r="D46" s="0"/>
    </row>
    <row r="47" customFormat="false" ht="13.8" hidden="false" customHeight="false" outlineLevel="0" collapsed="false">
      <c r="A47" s="0"/>
      <c r="B47" s="0"/>
      <c r="C47" s="0"/>
      <c r="D47" s="0"/>
    </row>
    <row r="48" customFormat="false" ht="13.8" hidden="false" customHeight="false" outlineLevel="0" collapsed="false">
      <c r="A48" s="0"/>
      <c r="B48" s="0"/>
      <c r="C48" s="0"/>
      <c r="D48" s="0"/>
    </row>
    <row r="49" customFormat="false" ht="13.8" hidden="false" customHeight="false" outlineLevel="0" collapsed="false">
      <c r="A49" s="0"/>
      <c r="B49" s="0"/>
      <c r="C49" s="0"/>
      <c r="D49" s="0"/>
    </row>
    <row r="50" customFormat="false" ht="13.8" hidden="false" customHeight="false" outlineLevel="0" collapsed="false">
      <c r="A50" s="0"/>
      <c r="B50" s="0"/>
      <c r="C50" s="0"/>
      <c r="D50" s="0"/>
    </row>
    <row r="51" customFormat="false" ht="13.8" hidden="false" customHeight="false" outlineLevel="0" collapsed="false">
      <c r="A51" s="0"/>
      <c r="B51" s="0"/>
      <c r="C51" s="0"/>
      <c r="D51" s="0"/>
    </row>
    <row r="52" customFormat="false" ht="13.8" hidden="false" customHeight="false" outlineLevel="0" collapsed="false">
      <c r="A52" s="0"/>
      <c r="B52" s="0"/>
      <c r="C52" s="0"/>
      <c r="D52" s="0"/>
    </row>
    <row r="53" customFormat="false" ht="13.8" hidden="false" customHeight="false" outlineLevel="0" collapsed="false">
      <c r="A53" s="0"/>
      <c r="B53" s="0"/>
      <c r="C53" s="0"/>
      <c r="D53" s="0"/>
    </row>
    <row r="54" customFormat="false" ht="13.8" hidden="false" customHeight="false" outlineLevel="0" collapsed="false">
      <c r="A54" s="0"/>
      <c r="B54" s="0"/>
      <c r="C54" s="0"/>
      <c r="D54" s="0"/>
    </row>
    <row r="55" customFormat="false" ht="13.8" hidden="false" customHeight="false" outlineLevel="0" collapsed="false">
      <c r="A55" s="0"/>
      <c r="B55" s="0"/>
      <c r="C55" s="0"/>
      <c r="D55" s="0"/>
    </row>
    <row r="56" customFormat="false" ht="13.8" hidden="false" customHeight="false" outlineLevel="0" collapsed="false">
      <c r="A56" s="0"/>
      <c r="B56" s="0"/>
      <c r="C56" s="0"/>
      <c r="D56" s="0"/>
    </row>
    <row r="57" customFormat="false" ht="13.8" hidden="false" customHeight="false" outlineLevel="0" collapsed="false">
      <c r="A57" s="0"/>
      <c r="B57" s="0"/>
      <c r="C57" s="0"/>
      <c r="D57" s="0"/>
    </row>
    <row r="58" customFormat="false" ht="13.8" hidden="false" customHeight="false" outlineLevel="0" collapsed="false">
      <c r="A58" s="0"/>
      <c r="B58" s="0"/>
      <c r="C58" s="0"/>
      <c r="D58" s="0"/>
    </row>
    <row r="59" customFormat="false" ht="13.8" hidden="false" customHeight="false" outlineLevel="0" collapsed="false">
      <c r="A59" s="0"/>
      <c r="B59" s="0"/>
      <c r="C59" s="0"/>
      <c r="D59" s="0"/>
    </row>
    <row r="60" customFormat="false" ht="13.8" hidden="false" customHeight="false" outlineLevel="0" collapsed="false">
      <c r="A60" s="0"/>
      <c r="B60" s="0"/>
      <c r="C60" s="0"/>
      <c r="D60" s="0"/>
    </row>
    <row r="61" customFormat="false" ht="13.8" hidden="false" customHeight="false" outlineLevel="0" collapsed="false">
      <c r="A61" s="0"/>
      <c r="B61" s="0"/>
      <c r="C61" s="0"/>
      <c r="D61" s="0"/>
    </row>
    <row r="62" customFormat="false" ht="13.8" hidden="false" customHeight="false" outlineLevel="0" collapsed="false">
      <c r="A62" s="0"/>
      <c r="B62" s="0"/>
      <c r="C62" s="0"/>
      <c r="D62" s="0"/>
    </row>
    <row r="63" customFormat="false" ht="13.8" hidden="false" customHeight="false" outlineLevel="0" collapsed="false">
      <c r="A63" s="0"/>
      <c r="B63" s="0"/>
      <c r="C63" s="0"/>
      <c r="D63" s="0"/>
    </row>
    <row r="64" customFormat="false" ht="13.8" hidden="false" customHeight="false" outlineLevel="0" collapsed="false">
      <c r="A64" s="0"/>
      <c r="B64" s="0"/>
      <c r="C64" s="0"/>
      <c r="D64" s="0"/>
    </row>
    <row r="65" customFormat="false" ht="13.8" hidden="false" customHeight="false" outlineLevel="0" collapsed="false">
      <c r="A65" s="0"/>
      <c r="B65" s="0"/>
      <c r="C65" s="0"/>
      <c r="D65" s="0"/>
    </row>
    <row r="66" customFormat="false" ht="13.8" hidden="false" customHeight="false" outlineLevel="0" collapsed="false">
      <c r="A66" s="0"/>
      <c r="B66" s="0"/>
      <c r="C66" s="0"/>
      <c r="D66" s="0"/>
    </row>
    <row r="67" customFormat="false" ht="13.8" hidden="false" customHeight="false" outlineLevel="0" collapsed="false">
      <c r="A67" s="0"/>
      <c r="B67" s="0"/>
      <c r="C67" s="0"/>
      <c r="D67" s="0"/>
    </row>
    <row r="68" customFormat="false" ht="13.8" hidden="false" customHeight="false" outlineLevel="0" collapsed="false">
      <c r="A68" s="0"/>
      <c r="B68" s="0"/>
      <c r="C68" s="0"/>
      <c r="D68" s="0"/>
    </row>
    <row r="69" customFormat="false" ht="13.8" hidden="false" customHeight="false" outlineLevel="0" collapsed="false">
      <c r="A69" s="0"/>
      <c r="B69" s="0"/>
      <c r="C69" s="0"/>
      <c r="D69" s="0"/>
    </row>
    <row r="70" customFormat="false" ht="13.8" hidden="false" customHeight="false" outlineLevel="0" collapsed="false">
      <c r="A70" s="0"/>
      <c r="B70" s="0"/>
      <c r="C70" s="0"/>
      <c r="D70" s="0"/>
    </row>
    <row r="71" customFormat="false" ht="13.8" hidden="false" customHeight="false" outlineLevel="0" collapsed="false">
      <c r="A71" s="0"/>
      <c r="B71" s="0"/>
      <c r="C71" s="0"/>
      <c r="D71" s="0"/>
    </row>
    <row r="72" customFormat="false" ht="13.8" hidden="false" customHeight="false" outlineLevel="0" collapsed="false">
      <c r="A72" s="0"/>
      <c r="B72" s="0"/>
      <c r="C72" s="0"/>
      <c r="D72" s="0"/>
    </row>
    <row r="73" customFormat="false" ht="13.8" hidden="false" customHeight="false" outlineLevel="0" collapsed="false">
      <c r="A73" s="0"/>
      <c r="B73" s="0"/>
      <c r="C73" s="0"/>
      <c r="D73" s="0"/>
    </row>
    <row r="74" customFormat="false" ht="13.8" hidden="false" customHeight="false" outlineLevel="0" collapsed="false">
      <c r="A74" s="0"/>
      <c r="B74" s="0"/>
      <c r="C74" s="0"/>
      <c r="D74" s="0"/>
    </row>
    <row r="75" customFormat="false" ht="13.8" hidden="false" customHeight="false" outlineLevel="0" collapsed="false">
      <c r="A75" s="0"/>
      <c r="B75" s="0"/>
      <c r="C75" s="0"/>
      <c r="D75" s="0"/>
    </row>
    <row r="76" customFormat="false" ht="13.8" hidden="false" customHeight="false" outlineLevel="0" collapsed="false">
      <c r="A76" s="0"/>
      <c r="B76" s="0"/>
      <c r="C76" s="0"/>
      <c r="D76" s="0"/>
    </row>
    <row r="77" customFormat="false" ht="13.8" hidden="false" customHeight="false" outlineLevel="0" collapsed="false">
      <c r="A77" s="0"/>
      <c r="B77" s="0"/>
      <c r="C77" s="0"/>
      <c r="D77" s="0"/>
    </row>
    <row r="78" customFormat="false" ht="13.8" hidden="false" customHeight="false" outlineLevel="0" collapsed="false">
      <c r="A78" s="0"/>
      <c r="B78" s="0"/>
      <c r="C78" s="0"/>
      <c r="D78" s="0"/>
    </row>
    <row r="79" customFormat="false" ht="13.8" hidden="false" customHeight="false" outlineLevel="0" collapsed="false">
      <c r="A79" s="0"/>
      <c r="B79" s="0"/>
      <c r="C79" s="0"/>
      <c r="D79" s="0"/>
    </row>
    <row r="80" customFormat="false" ht="13.8" hidden="false" customHeight="false" outlineLevel="0" collapsed="false">
      <c r="A80" s="0"/>
      <c r="B80" s="0"/>
      <c r="C80" s="0"/>
      <c r="D80" s="0"/>
    </row>
    <row r="81" customFormat="false" ht="13.8" hidden="false" customHeight="false" outlineLevel="0" collapsed="false">
      <c r="A81" s="0"/>
      <c r="B81" s="0"/>
      <c r="C81" s="0"/>
      <c r="D81" s="0"/>
    </row>
    <row r="82" customFormat="false" ht="13.8" hidden="false" customHeight="false" outlineLevel="0" collapsed="false">
      <c r="A82" s="0"/>
      <c r="B82" s="0"/>
      <c r="C82" s="0"/>
      <c r="D82" s="0"/>
    </row>
    <row r="83" customFormat="false" ht="13.8" hidden="false" customHeight="false" outlineLevel="0" collapsed="false">
      <c r="A83" s="0"/>
      <c r="B83" s="0"/>
      <c r="C83" s="0"/>
      <c r="D83" s="0"/>
    </row>
    <row r="84" customFormat="false" ht="13.8" hidden="false" customHeight="false" outlineLevel="0" collapsed="false">
      <c r="A84" s="0"/>
      <c r="B84" s="0"/>
      <c r="C84" s="0"/>
      <c r="D84" s="0"/>
    </row>
    <row r="85" customFormat="false" ht="13.8" hidden="false" customHeight="false" outlineLevel="0" collapsed="false">
      <c r="A85" s="0"/>
      <c r="B85" s="0"/>
      <c r="C85" s="0"/>
      <c r="D85" s="0"/>
    </row>
    <row r="86" customFormat="false" ht="13.8" hidden="false" customHeight="false" outlineLevel="0" collapsed="false">
      <c r="A86" s="0"/>
      <c r="B86" s="0"/>
      <c r="C86" s="0"/>
      <c r="D86" s="0"/>
    </row>
    <row r="87" customFormat="false" ht="13.8" hidden="false" customHeight="false" outlineLevel="0" collapsed="false">
      <c r="A87" s="0"/>
      <c r="B87" s="0"/>
      <c r="C87" s="0"/>
      <c r="D87" s="0"/>
    </row>
    <row r="88" customFormat="false" ht="13.8" hidden="false" customHeight="false" outlineLevel="0" collapsed="false">
      <c r="A88" s="0"/>
      <c r="B88" s="0"/>
      <c r="C88" s="0"/>
      <c r="D88" s="0"/>
    </row>
    <row r="89" customFormat="false" ht="13.8" hidden="false" customHeight="false" outlineLevel="0" collapsed="false">
      <c r="A89" s="0"/>
      <c r="B89" s="0"/>
      <c r="C89" s="0"/>
      <c r="D89" s="0"/>
    </row>
    <row r="90" customFormat="false" ht="13.8" hidden="false" customHeight="false" outlineLevel="0" collapsed="false">
      <c r="A90" s="0"/>
      <c r="B90" s="0"/>
      <c r="C90" s="0"/>
      <c r="D90" s="0"/>
    </row>
    <row r="91" customFormat="false" ht="13.8" hidden="false" customHeight="false" outlineLevel="0" collapsed="false">
      <c r="A91" s="0"/>
      <c r="B91" s="0"/>
      <c r="C91" s="0"/>
      <c r="D91" s="0"/>
    </row>
    <row r="92" customFormat="false" ht="13.8" hidden="false" customHeight="false" outlineLevel="0" collapsed="false">
      <c r="A92" s="0"/>
      <c r="B92" s="0"/>
      <c r="C92" s="0"/>
      <c r="D92" s="0"/>
    </row>
    <row r="93" customFormat="false" ht="13.8" hidden="false" customHeight="false" outlineLevel="0" collapsed="false">
      <c r="A93" s="0"/>
      <c r="B93" s="0"/>
      <c r="C93" s="0"/>
      <c r="D93" s="0"/>
    </row>
    <row r="94" customFormat="false" ht="13.8" hidden="false" customHeight="false" outlineLevel="0" collapsed="false">
      <c r="A94" s="0"/>
      <c r="B94" s="0"/>
      <c r="C94" s="0"/>
      <c r="D94" s="0"/>
    </row>
    <row r="95" customFormat="false" ht="13.8" hidden="false" customHeight="false" outlineLevel="0" collapsed="false">
      <c r="A95" s="0"/>
      <c r="B95" s="0"/>
      <c r="C95" s="0"/>
      <c r="D95" s="0"/>
    </row>
    <row r="96" customFormat="false" ht="13.8" hidden="false" customHeight="false" outlineLevel="0" collapsed="false">
      <c r="A96" s="0"/>
      <c r="B96" s="0"/>
      <c r="C96" s="0"/>
      <c r="D96" s="0"/>
    </row>
    <row r="97" customFormat="false" ht="13.8" hidden="false" customHeight="false" outlineLevel="0" collapsed="false">
      <c r="A97" s="0"/>
      <c r="B97" s="0"/>
      <c r="C97" s="0"/>
      <c r="D97" s="0"/>
    </row>
    <row r="98" customFormat="false" ht="13.8" hidden="false" customHeight="false" outlineLevel="0" collapsed="false">
      <c r="A98" s="0"/>
      <c r="B98" s="0"/>
      <c r="C98" s="0"/>
      <c r="D98" s="0"/>
    </row>
    <row r="99" customFormat="false" ht="13.8" hidden="false" customHeight="false" outlineLevel="0" collapsed="false">
      <c r="A99" s="0"/>
      <c r="B99" s="0"/>
      <c r="C99" s="0"/>
      <c r="D99" s="0"/>
    </row>
    <row r="100" customFormat="false" ht="13.8" hidden="false" customHeight="false" outlineLevel="0" collapsed="false">
      <c r="A100" s="0"/>
      <c r="B100" s="0"/>
      <c r="C100" s="0"/>
      <c r="D100" s="0"/>
    </row>
    <row r="101" customFormat="false" ht="13.8" hidden="false" customHeight="false" outlineLevel="0" collapsed="false">
      <c r="A101" s="0"/>
      <c r="B101" s="0"/>
      <c r="C101" s="0"/>
      <c r="D101" s="0"/>
    </row>
    <row r="102" customFormat="false" ht="13.8" hidden="false" customHeight="false" outlineLevel="0" collapsed="false">
      <c r="A102" s="0"/>
      <c r="B102" s="0"/>
      <c r="C102" s="0"/>
      <c r="D102" s="0"/>
    </row>
    <row r="103" customFormat="false" ht="13.8" hidden="false" customHeight="false" outlineLevel="0" collapsed="false">
      <c r="A103" s="0"/>
      <c r="B103" s="0"/>
      <c r="C103" s="0"/>
      <c r="D103" s="0"/>
    </row>
    <row r="104" customFormat="false" ht="13.8" hidden="false" customHeight="false" outlineLevel="0" collapsed="false">
      <c r="A104" s="0"/>
      <c r="B104" s="0"/>
      <c r="C104" s="0"/>
      <c r="D104" s="0"/>
    </row>
    <row r="105" customFormat="false" ht="13.8" hidden="false" customHeight="false" outlineLevel="0" collapsed="false">
      <c r="A105" s="0"/>
      <c r="B105" s="0"/>
      <c r="C105" s="0"/>
      <c r="D105" s="0"/>
    </row>
    <row r="106" customFormat="false" ht="13.8" hidden="false" customHeight="false" outlineLevel="0" collapsed="false">
      <c r="A106" s="0"/>
      <c r="B106" s="0"/>
      <c r="C106" s="0"/>
      <c r="D106" s="0"/>
    </row>
    <row r="107" customFormat="false" ht="13.8" hidden="false" customHeight="false" outlineLevel="0" collapsed="false">
      <c r="A107" s="0"/>
      <c r="B107" s="0"/>
      <c r="C107" s="0"/>
      <c r="D107" s="0"/>
    </row>
    <row r="108" customFormat="false" ht="13.8" hidden="false" customHeight="false" outlineLevel="0" collapsed="false">
      <c r="A108" s="0"/>
      <c r="B108" s="0"/>
      <c r="C108" s="0"/>
      <c r="D108" s="0"/>
    </row>
    <row r="109" customFormat="false" ht="13.8" hidden="false" customHeight="false" outlineLevel="0" collapsed="false">
      <c r="A109" s="0"/>
      <c r="B109" s="0"/>
      <c r="C109" s="0"/>
      <c r="D109" s="0"/>
    </row>
    <row r="110" customFormat="false" ht="12.8" hidden="false" customHeight="true" outlineLevel="0" collapsed="false">
      <c r="A110" s="0"/>
      <c r="B110" s="0"/>
      <c r="C110" s="0"/>
      <c r="D110" s="0"/>
    </row>
    <row r="111" customFormat="false" ht="12.8" hidden="false" customHeight="true" outlineLevel="0" collapsed="false">
      <c r="A111" s="0"/>
      <c r="B111" s="0"/>
      <c r="C111" s="0"/>
      <c r="D111" s="0"/>
    </row>
    <row r="112" customFormat="false" ht="12.8" hidden="false" customHeight="true" outlineLevel="0" collapsed="false">
      <c r="A112" s="0"/>
      <c r="B112" s="0"/>
      <c r="C112" s="0"/>
      <c r="D112" s="0"/>
    </row>
    <row r="113" customFormat="false" ht="12.8" hidden="false" customHeight="true" outlineLevel="0" collapsed="false">
      <c r="A113" s="0"/>
      <c r="B113" s="0"/>
      <c r="C113" s="0"/>
      <c r="D113" s="0"/>
    </row>
    <row r="114" customFormat="false" ht="12.8" hidden="false" customHeight="true" outlineLevel="0" collapsed="false">
      <c r="A114" s="0"/>
      <c r="B114" s="0"/>
      <c r="C114" s="0"/>
      <c r="D114" s="0"/>
    </row>
    <row r="115" customFormat="false" ht="12.8" hidden="false" customHeight="true" outlineLevel="0" collapsed="false">
      <c r="A115" s="0"/>
      <c r="B115" s="0"/>
      <c r="C115" s="0"/>
      <c r="D11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2020-05-22T12:51:24Z</dcterms:created>
  <dc:creator>Steve Ryan</dc:creator>
  <dc:description/>
  <dc:language>en-CA</dc:language>
  <cp:lastModifiedBy/>
  <dcterms:modified xsi:type="dcterms:W3CDTF">2025-12-09T18:19:09Z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